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richData/rdrichvalue.xml" ContentType="application/vnd.ms-excel.rdrichvalue+xml"/>
  <Override PartName="/xl/richData/rdRichValueTypes.xml" ContentType="application/vnd.ms-excel.rdrichvaluetypes+xml"/>
  <Override PartName="/xl/richData/rdrichvaluestructure.xml" ContentType="application/vnd.ms-excel.rdrichvaluestructure+xml"/>
  <Override PartName="/xl/richData/richValueRel.xml" ContentType="application/vnd.ms-excel.richvaluerel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data\Pool\"/>
    </mc:Choice>
  </mc:AlternateContent>
  <xr:revisionPtr revIDLastSave="0" documentId="13_ncr:1_{144F633A-8AFC-4170-A213-F8B8769D46CD}" xr6:coauthVersionLast="47" xr6:coauthVersionMax="47" xr10:uidLastSave="{00000000-0000-0000-0000-000000000000}"/>
  <workbookProtection workbookAlgorithmName="SHA-512" workbookHashValue="bqHsCDemcdR0Ipadti6wncyzdAeINT/YGfjKBg7wSLavCTBzuDKZCJ+fnfcPrPKi8tCweqhctCdfJyhzdsuf1Q==" workbookSaltValue="QxR68p7FFYP+sCDdnSn9ow==" workbookSpinCount="100000" lockStructure="1"/>
  <bookViews>
    <workbookView xWindow="-120" yWindow="-120" windowWidth="29040" windowHeight="15840" xr2:uid="{00000000-000D-0000-FFFF-FFFF00000000}"/>
  </bookViews>
  <sheets>
    <sheet name="Points" sheetId="3" r:id="rId1"/>
    <sheet name="Choix" sheetId="1" r:id="rId2"/>
    <sheet name="Sommaire" sheetId="2" r:id="rId3"/>
    <sheet name="Grille" sheetId="4" r:id="rId4"/>
  </sheets>
  <functionGroups builtInGroupCount="19"/>
  <definedNames>
    <definedName name="AAsomm">Sommaire!$B$16:$D$44</definedName>
    <definedName name="Achoix">Sommaire!$A$2:$P$12</definedName>
    <definedName name="Achoix1">Sommaire!$B$2:$V$12</definedName>
    <definedName name="Achoix2">Sommaire!$W$2:$AQ$12</definedName>
    <definedName name="Achoix3">Sommaire!$AR$2:$BL$12</definedName>
    <definedName name="Achoix4">Sommaire!$BM$2:$CG$12</definedName>
    <definedName name="Agrille">Grille!$D$5:$Y$19</definedName>
    <definedName name="Asomm">Sommaire!$A$16:$D$44</definedName>
    <definedName name="nbrCell">Points!$E$2</definedName>
    <definedName name="nbrPoolers">Points!$C$1</definedName>
    <definedName name="P10G">Sommaire!$AD$3</definedName>
    <definedName name="P10P">Sommaire!$AE$3</definedName>
    <definedName name="P11G">Sommaire!$AG$3</definedName>
    <definedName name="P11P">Sommaire!$AH$3</definedName>
    <definedName name="P12G">Sommaire!$AJ$3</definedName>
    <definedName name="P12P">Sommaire!$AK$3</definedName>
    <definedName name="P13G">Sommaire!$AM$3</definedName>
    <definedName name="P13P">Sommaire!$AN$3</definedName>
    <definedName name="P14G">Sommaire!$AP$3</definedName>
    <definedName name="P14P">Sommaire!$AQ$3</definedName>
    <definedName name="P15G">Sommaire!$AS$3</definedName>
    <definedName name="P15P">Sommaire!$AT$3</definedName>
    <definedName name="P16G">Sommaire!$AV$3</definedName>
    <definedName name="P16P">Sommaire!$AW$3</definedName>
    <definedName name="P17G">Sommaire!$AY$3</definedName>
    <definedName name="P17P">Sommaire!$AZ$3</definedName>
    <definedName name="P18G">Sommaire!$BB$3</definedName>
    <definedName name="P18P">Sommaire!$BC$3</definedName>
    <definedName name="P19G">Sommaire!$BE$3</definedName>
    <definedName name="P19P">Sommaire!$BF$3</definedName>
    <definedName name="P1G">Sommaire!$C$3</definedName>
    <definedName name="P1P">Sommaire!$D$3</definedName>
    <definedName name="P20G">Sommaire!$BH$3</definedName>
    <definedName name="P20P">Sommaire!$BI$3</definedName>
    <definedName name="P21G">Sommaire!$BK$3</definedName>
    <definedName name="P21P">Sommaire!$BL$3</definedName>
    <definedName name="P22G">Sommaire!$BN$3</definedName>
    <definedName name="P22P">Sommaire!$BO$3</definedName>
    <definedName name="P23G">Sommaire!$BQ$3</definedName>
    <definedName name="P23P">Sommaire!$BR$3</definedName>
    <definedName name="P24G">Sommaire!$BT$3</definedName>
    <definedName name="P24P">Sommaire!$BU$3</definedName>
    <definedName name="P25G">Sommaire!$BW$3</definedName>
    <definedName name="P25P">Sommaire!$BX$3</definedName>
    <definedName name="P26G">Sommaire!$BZ$3</definedName>
    <definedName name="P26P">Sommaire!$CA$3</definedName>
    <definedName name="P27G">Sommaire!$CC$3</definedName>
    <definedName name="P27P">Sommaire!$CD$3</definedName>
    <definedName name="P28G">Sommaire!$CF$3</definedName>
    <definedName name="P28P">Sommaire!$CG$3</definedName>
    <definedName name="P2G">Sommaire!$F$3</definedName>
    <definedName name="P2P">Sommaire!$G$3</definedName>
    <definedName name="P3G">Sommaire!$I$3</definedName>
    <definedName name="P3P">Sommaire!$J$3</definedName>
    <definedName name="P4G">Sommaire!$L$3</definedName>
    <definedName name="P4P">Sommaire!$M$3</definedName>
    <definedName name="P5G">Sommaire!$O$3</definedName>
    <definedName name="P5P">Sommaire!$P$3</definedName>
    <definedName name="P6G">Sommaire!$R$3</definedName>
    <definedName name="P6P">Sommaire!$S$3</definedName>
    <definedName name="P7G">Sommaire!$U$3</definedName>
    <definedName name="P7P">Sommaire!$V$3</definedName>
    <definedName name="P8G">Sommaire!$X$3</definedName>
    <definedName name="P8P">Sommaire!$Y$3</definedName>
    <definedName name="P9G">Sommaire!$AA$3</definedName>
    <definedName name="P9P">Sommaire!$AB$3</definedName>
    <definedName name="pointsPoints">Points!$C$4</definedName>
    <definedName name="pointsSerie">Points!$C$3</definedName>
    <definedName name="res_code">Points!$K$20:$K$22</definedName>
    <definedName name="resTot">Points!$F$3:$K$18</definedName>
    <definedName name="result">Points!$F$3:$G$18</definedName>
    <definedName name="ronde">Points!$E$1</definedName>
    <definedName name="Scour">Points!$M$20</definedName>
    <definedName name="Sgagn">Points!$M$21</definedName>
    <definedName name="somm">Sommaire!$B$16:$D$22</definedName>
    <definedName name="Sperd">Points!$M$22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1" i="2" l="1"/>
  <c r="B38" i="2"/>
  <c r="B25" i="2"/>
  <c r="B27" i="2"/>
  <c r="B29" i="2"/>
  <c r="B20" i="2"/>
  <c r="B26" i="2"/>
  <c r="B44" i="2"/>
  <c r="B32" i="2"/>
  <c r="B23" i="2"/>
  <c r="B17" i="2"/>
  <c r="B37" i="2"/>
  <c r="B19" i="2"/>
  <c r="AO6" i="2"/>
  <c r="AP6" i="2"/>
  <c r="AR6" i="2"/>
  <c r="AS6" i="2"/>
  <c r="AU6" i="2"/>
  <c r="AV6" i="2"/>
  <c r="AX6" i="2"/>
  <c r="AY6" i="2"/>
  <c r="BA6" i="2"/>
  <c r="BB6" i="2"/>
  <c r="BD6" i="2"/>
  <c r="BE6" i="2"/>
  <c r="BG6" i="2"/>
  <c r="BH6" i="2"/>
  <c r="BJ6" i="2"/>
  <c r="BK6" i="2"/>
  <c r="BM6" i="2"/>
  <c r="BN6" i="2"/>
  <c r="BP6" i="2"/>
  <c r="BQ6" i="2"/>
  <c r="BS6" i="2"/>
  <c r="BT6" i="2"/>
  <c r="BV6" i="2"/>
  <c r="BW6" i="2"/>
  <c r="BY6" i="2"/>
  <c r="BZ6" i="2"/>
  <c r="CB6" i="2"/>
  <c r="CC6" i="2"/>
  <c r="CE6" i="2"/>
  <c r="CF6" i="2"/>
  <c r="AO7" i="2"/>
  <c r="AP7" i="2"/>
  <c r="AR7" i="2"/>
  <c r="AS7" i="2"/>
  <c r="AU7" i="2"/>
  <c r="AV7" i="2"/>
  <c r="AX7" i="2"/>
  <c r="AY7" i="2"/>
  <c r="BA7" i="2"/>
  <c r="BB7" i="2"/>
  <c r="BD7" i="2"/>
  <c r="BE7" i="2"/>
  <c r="BG7" i="2"/>
  <c r="BH7" i="2"/>
  <c r="BJ7" i="2"/>
  <c r="BK7" i="2"/>
  <c r="BM7" i="2"/>
  <c r="BN7" i="2"/>
  <c r="BP7" i="2"/>
  <c r="BQ7" i="2"/>
  <c r="BS7" i="2"/>
  <c r="BT7" i="2"/>
  <c r="BV7" i="2"/>
  <c r="BW7" i="2"/>
  <c r="BY7" i="2"/>
  <c r="BZ7" i="2"/>
  <c r="CB7" i="2"/>
  <c r="CC7" i="2"/>
  <c r="CE7" i="2"/>
  <c r="CF7" i="2"/>
  <c r="AO8" i="2"/>
  <c r="AP8" i="2"/>
  <c r="AR8" i="2"/>
  <c r="AS8" i="2"/>
  <c r="AU8" i="2"/>
  <c r="AV8" i="2"/>
  <c r="AX8" i="2"/>
  <c r="AY8" i="2"/>
  <c r="BA8" i="2"/>
  <c r="BB8" i="2"/>
  <c r="BD8" i="2"/>
  <c r="BE8" i="2"/>
  <c r="BG8" i="2"/>
  <c r="BH8" i="2"/>
  <c r="BJ8" i="2"/>
  <c r="BK8" i="2"/>
  <c r="BM8" i="2"/>
  <c r="BN8" i="2"/>
  <c r="BP8" i="2"/>
  <c r="BQ8" i="2"/>
  <c r="BS8" i="2"/>
  <c r="BT8" i="2"/>
  <c r="BV8" i="2"/>
  <c r="BW8" i="2"/>
  <c r="BY8" i="2"/>
  <c r="BZ8" i="2"/>
  <c r="CB8" i="2"/>
  <c r="CC8" i="2"/>
  <c r="CE8" i="2"/>
  <c r="CF8" i="2"/>
  <c r="AO9" i="2"/>
  <c r="AP9" i="2"/>
  <c r="AR9" i="2"/>
  <c r="AS9" i="2"/>
  <c r="AU9" i="2"/>
  <c r="AV9" i="2"/>
  <c r="AX9" i="2"/>
  <c r="AY9" i="2"/>
  <c r="BA9" i="2"/>
  <c r="BB9" i="2"/>
  <c r="BD9" i="2"/>
  <c r="BE9" i="2"/>
  <c r="BG9" i="2"/>
  <c r="BH9" i="2"/>
  <c r="BJ9" i="2"/>
  <c r="BK9" i="2"/>
  <c r="BM9" i="2"/>
  <c r="BN9" i="2"/>
  <c r="BP9" i="2"/>
  <c r="BQ9" i="2"/>
  <c r="BS9" i="2"/>
  <c r="BT9" i="2"/>
  <c r="BV9" i="2"/>
  <c r="BW9" i="2"/>
  <c r="BY9" i="2"/>
  <c r="BZ9" i="2"/>
  <c r="CB9" i="2"/>
  <c r="CC9" i="2"/>
  <c r="CE9" i="2"/>
  <c r="CF9" i="2"/>
  <c r="AO10" i="2"/>
  <c r="AP10" i="2"/>
  <c r="AR10" i="2"/>
  <c r="AS10" i="2"/>
  <c r="AU10" i="2"/>
  <c r="AV10" i="2"/>
  <c r="AX10" i="2"/>
  <c r="AY10" i="2"/>
  <c r="BA10" i="2"/>
  <c r="BB10" i="2"/>
  <c r="BD10" i="2"/>
  <c r="BE10" i="2"/>
  <c r="BG10" i="2"/>
  <c r="BH10" i="2"/>
  <c r="BJ10" i="2"/>
  <c r="BK10" i="2"/>
  <c r="BM10" i="2"/>
  <c r="BN10" i="2"/>
  <c r="BP10" i="2"/>
  <c r="BQ10" i="2"/>
  <c r="BS10" i="2"/>
  <c r="BT10" i="2"/>
  <c r="BV10" i="2"/>
  <c r="BW10" i="2"/>
  <c r="BY10" i="2"/>
  <c r="BZ10" i="2"/>
  <c r="CB10" i="2"/>
  <c r="CC10" i="2"/>
  <c r="CE10" i="2"/>
  <c r="CF10" i="2"/>
  <c r="AO11" i="2"/>
  <c r="AP11" i="2"/>
  <c r="AR11" i="2"/>
  <c r="AS11" i="2"/>
  <c r="AU11" i="2"/>
  <c r="AV11" i="2"/>
  <c r="AX11" i="2"/>
  <c r="AY11" i="2"/>
  <c r="BA11" i="2"/>
  <c r="BB11" i="2"/>
  <c r="BD11" i="2"/>
  <c r="BE11" i="2"/>
  <c r="BG11" i="2"/>
  <c r="BH11" i="2"/>
  <c r="BJ11" i="2"/>
  <c r="BK11" i="2"/>
  <c r="BM11" i="2"/>
  <c r="BN11" i="2"/>
  <c r="BP11" i="2"/>
  <c r="BQ11" i="2"/>
  <c r="BS11" i="2"/>
  <c r="BT11" i="2"/>
  <c r="BV11" i="2"/>
  <c r="BW11" i="2"/>
  <c r="BY11" i="2"/>
  <c r="BZ11" i="2"/>
  <c r="CB11" i="2"/>
  <c r="CC11" i="2"/>
  <c r="CE11" i="2"/>
  <c r="CF11" i="2"/>
  <c r="AO12" i="2"/>
  <c r="AP12" i="2"/>
  <c r="AR12" i="2"/>
  <c r="AS12" i="2"/>
  <c r="AU12" i="2"/>
  <c r="AV12" i="2"/>
  <c r="AX12" i="2"/>
  <c r="AY12" i="2"/>
  <c r="BA12" i="2"/>
  <c r="BB12" i="2"/>
  <c r="BD12" i="2"/>
  <c r="BE12" i="2"/>
  <c r="BG12" i="2"/>
  <c r="BH12" i="2"/>
  <c r="BJ12" i="2"/>
  <c r="BK12" i="2"/>
  <c r="BM12" i="2"/>
  <c r="BN12" i="2"/>
  <c r="BP12" i="2"/>
  <c r="BQ12" i="2"/>
  <c r="BS12" i="2"/>
  <c r="BT12" i="2"/>
  <c r="BV12" i="2"/>
  <c r="BW12" i="2"/>
  <c r="BY12" i="2"/>
  <c r="BZ12" i="2"/>
  <c r="CB12" i="2"/>
  <c r="CC12" i="2"/>
  <c r="CE12" i="2"/>
  <c r="CF12" i="2"/>
  <c r="AP5" i="2"/>
  <c r="AS5" i="2"/>
  <c r="AV5" i="2"/>
  <c r="AY5" i="2"/>
  <c r="BB5" i="2"/>
  <c r="BE5" i="2"/>
  <c r="BH5" i="2"/>
  <c r="BK5" i="2"/>
  <c r="BN5" i="2"/>
  <c r="BQ5" i="2"/>
  <c r="BT5" i="2"/>
  <c r="BW5" i="2"/>
  <c r="BZ5" i="2"/>
  <c r="CC5" i="2"/>
  <c r="CF5" i="2"/>
  <c r="CE5" i="2"/>
  <c r="CB5" i="2"/>
  <c r="BY5" i="2"/>
  <c r="BV5" i="2"/>
  <c r="BS5" i="2"/>
  <c r="BP5" i="2"/>
  <c r="BM5" i="2"/>
  <c r="BJ5" i="2"/>
  <c r="BG5" i="2"/>
  <c r="BD5" i="2"/>
  <c r="BA5" i="2"/>
  <c r="AX5" i="2"/>
  <c r="AU5" i="2"/>
  <c r="AR5" i="2"/>
  <c r="AO5" i="2"/>
  <c r="CE3" i="2"/>
  <c r="CB3" i="2"/>
  <c r="BY3" i="2"/>
  <c r="BV3" i="2"/>
  <c r="BS3" i="2"/>
  <c r="BP3" i="2"/>
  <c r="BM3" i="2"/>
  <c r="BJ3" i="2"/>
  <c r="BG3" i="2"/>
  <c r="BD3" i="2"/>
  <c r="BA3" i="2"/>
  <c r="AX3" i="2"/>
  <c r="AU3" i="2"/>
  <c r="AR3" i="2"/>
  <c r="AO3" i="2"/>
  <c r="B18" i="2"/>
  <c r="B34" i="2"/>
  <c r="B41" i="2"/>
  <c r="B40" i="2"/>
  <c r="B36" i="2"/>
  <c r="B24" i="2"/>
  <c r="B42" i="2"/>
  <c r="B22" i="2"/>
  <c r="B39" i="2"/>
  <c r="B31" i="2"/>
  <c r="C7" i="2"/>
  <c r="C8" i="2"/>
  <c r="C9" i="2"/>
  <c r="B33" i="2"/>
  <c r="B30" i="2"/>
  <c r="B35" i="2"/>
  <c r="B43" i="2"/>
  <c r="B28" i="2"/>
  <c r="B3" i="2"/>
  <c r="Z6" i="2"/>
  <c r="AA6" i="2"/>
  <c r="AC6" i="2"/>
  <c r="AD6" i="2"/>
  <c r="AF6" i="2"/>
  <c r="AG6" i="2"/>
  <c r="AI6" i="2"/>
  <c r="AJ6" i="2"/>
  <c r="AL6" i="2"/>
  <c r="AM6" i="2"/>
  <c r="Z7" i="2"/>
  <c r="AA7" i="2"/>
  <c r="AC7" i="2"/>
  <c r="AD7" i="2"/>
  <c r="AF7" i="2"/>
  <c r="AG7" i="2"/>
  <c r="AI7" i="2"/>
  <c r="AJ7" i="2"/>
  <c r="AL7" i="2"/>
  <c r="AM7" i="2"/>
  <c r="Z8" i="2"/>
  <c r="AA8" i="2"/>
  <c r="AC8" i="2"/>
  <c r="AD8" i="2"/>
  <c r="AF8" i="2"/>
  <c r="AG8" i="2"/>
  <c r="AI8" i="2"/>
  <c r="AJ8" i="2"/>
  <c r="AL8" i="2"/>
  <c r="AM8" i="2"/>
  <c r="Z9" i="2"/>
  <c r="AA9" i="2"/>
  <c r="AC9" i="2"/>
  <c r="AD9" i="2"/>
  <c r="AF9" i="2"/>
  <c r="AG9" i="2"/>
  <c r="AI9" i="2"/>
  <c r="AJ9" i="2"/>
  <c r="AL9" i="2"/>
  <c r="AM9" i="2"/>
  <c r="Z10" i="2"/>
  <c r="AA10" i="2"/>
  <c r="AC10" i="2"/>
  <c r="AD10" i="2"/>
  <c r="AF10" i="2"/>
  <c r="AG10" i="2"/>
  <c r="AI10" i="2"/>
  <c r="AJ10" i="2"/>
  <c r="AL10" i="2"/>
  <c r="AM10" i="2"/>
  <c r="Z11" i="2"/>
  <c r="AA11" i="2"/>
  <c r="AC11" i="2"/>
  <c r="AD11" i="2"/>
  <c r="AF11" i="2"/>
  <c r="AG11" i="2"/>
  <c r="AI11" i="2"/>
  <c r="AJ11" i="2"/>
  <c r="AL11" i="2"/>
  <c r="AM11" i="2"/>
  <c r="Z12" i="2"/>
  <c r="AA12" i="2"/>
  <c r="AC12" i="2"/>
  <c r="AD12" i="2"/>
  <c r="AF12" i="2"/>
  <c r="AG12" i="2"/>
  <c r="AI12" i="2"/>
  <c r="AJ12" i="2"/>
  <c r="AL12" i="2"/>
  <c r="AM12" i="2"/>
  <c r="AL5" i="2"/>
  <c r="AM5" i="2"/>
  <c r="AJ5" i="2"/>
  <c r="AI5" i="2"/>
  <c r="AG5" i="2"/>
  <c r="AF5" i="2"/>
  <c r="AD5" i="2"/>
  <c r="AC5" i="2"/>
  <c r="AA5" i="2"/>
  <c r="Z5" i="2"/>
  <c r="AL3" i="2"/>
  <c r="AI3" i="2"/>
  <c r="AF3" i="2"/>
  <c r="AC3" i="2"/>
  <c r="Z3" i="2"/>
  <c r="W6" i="2"/>
  <c r="X6" i="2"/>
  <c r="W7" i="2"/>
  <c r="X7" i="2"/>
  <c r="W8" i="2"/>
  <c r="X8" i="2"/>
  <c r="W9" i="2"/>
  <c r="X9" i="2"/>
  <c r="W10" i="2"/>
  <c r="X10" i="2"/>
  <c r="W11" i="2"/>
  <c r="X11" i="2"/>
  <c r="W12" i="2"/>
  <c r="X12" i="2"/>
  <c r="W5" i="2"/>
  <c r="X5" i="2"/>
  <c r="W3" i="2"/>
  <c r="U6" i="2"/>
  <c r="U7" i="2"/>
  <c r="U8" i="2"/>
  <c r="U9" i="2"/>
  <c r="U10" i="2"/>
  <c r="U11" i="2"/>
  <c r="U12" i="2"/>
  <c r="T6" i="2"/>
  <c r="T7" i="2"/>
  <c r="T8" i="2"/>
  <c r="T9" i="2"/>
  <c r="T10" i="2"/>
  <c r="T11" i="2"/>
  <c r="T12" i="2"/>
  <c r="U5" i="2"/>
  <c r="T5" i="2"/>
  <c r="T3" i="2"/>
  <c r="E281" i="1"/>
  <c r="C281" i="1"/>
  <c r="E280" i="1"/>
  <c r="C280" i="1"/>
  <c r="E279" i="1"/>
  <c r="C279" i="1"/>
  <c r="E278" i="1"/>
  <c r="C278" i="1"/>
  <c r="E277" i="1"/>
  <c r="C277" i="1"/>
  <c r="E276" i="1"/>
  <c r="C276" i="1"/>
  <c r="E275" i="1"/>
  <c r="C275" i="1"/>
  <c r="E274" i="1"/>
  <c r="C274" i="1"/>
  <c r="E271" i="1"/>
  <c r="C271" i="1"/>
  <c r="E270" i="1"/>
  <c r="C270" i="1"/>
  <c r="E269" i="1"/>
  <c r="C269" i="1"/>
  <c r="E268" i="1"/>
  <c r="C268" i="1"/>
  <c r="E267" i="1"/>
  <c r="C267" i="1"/>
  <c r="E266" i="1"/>
  <c r="C266" i="1"/>
  <c r="E265" i="1"/>
  <c r="C265" i="1"/>
  <c r="E264" i="1"/>
  <c r="C264" i="1"/>
  <c r="E261" i="1"/>
  <c r="C261" i="1"/>
  <c r="E260" i="1"/>
  <c r="C260" i="1"/>
  <c r="E259" i="1"/>
  <c r="C259" i="1"/>
  <c r="E258" i="1"/>
  <c r="C258" i="1"/>
  <c r="E257" i="1"/>
  <c r="C257" i="1"/>
  <c r="E256" i="1"/>
  <c r="C256" i="1"/>
  <c r="E255" i="1"/>
  <c r="C255" i="1"/>
  <c r="E254" i="1"/>
  <c r="C254" i="1"/>
  <c r="E251" i="1"/>
  <c r="C251" i="1"/>
  <c r="E250" i="1"/>
  <c r="C250" i="1"/>
  <c r="E249" i="1"/>
  <c r="C249" i="1"/>
  <c r="E248" i="1"/>
  <c r="C248" i="1"/>
  <c r="E247" i="1"/>
  <c r="C247" i="1"/>
  <c r="E246" i="1"/>
  <c r="C246" i="1"/>
  <c r="E245" i="1"/>
  <c r="C245" i="1"/>
  <c r="E244" i="1"/>
  <c r="C244" i="1"/>
  <c r="E241" i="1"/>
  <c r="C241" i="1"/>
  <c r="E240" i="1"/>
  <c r="C240" i="1"/>
  <c r="E239" i="1"/>
  <c r="C239" i="1"/>
  <c r="E238" i="1"/>
  <c r="C238" i="1"/>
  <c r="E237" i="1"/>
  <c r="C237" i="1"/>
  <c r="E236" i="1"/>
  <c r="C236" i="1"/>
  <c r="E235" i="1"/>
  <c r="C235" i="1"/>
  <c r="E234" i="1"/>
  <c r="C234" i="1"/>
  <c r="E231" i="1"/>
  <c r="C231" i="1"/>
  <c r="E230" i="1"/>
  <c r="C230" i="1"/>
  <c r="E229" i="1"/>
  <c r="C229" i="1"/>
  <c r="E228" i="1"/>
  <c r="C228" i="1"/>
  <c r="E227" i="1"/>
  <c r="C227" i="1"/>
  <c r="E226" i="1"/>
  <c r="C226" i="1"/>
  <c r="E225" i="1"/>
  <c r="C225" i="1"/>
  <c r="E224" i="1"/>
  <c r="C224" i="1"/>
  <c r="E221" i="1"/>
  <c r="C221" i="1"/>
  <c r="E220" i="1"/>
  <c r="C220" i="1"/>
  <c r="E219" i="1"/>
  <c r="C219" i="1"/>
  <c r="E218" i="1"/>
  <c r="C218" i="1"/>
  <c r="E217" i="1"/>
  <c r="C217" i="1"/>
  <c r="E216" i="1"/>
  <c r="C216" i="1"/>
  <c r="E215" i="1"/>
  <c r="C215" i="1"/>
  <c r="E214" i="1"/>
  <c r="C214" i="1"/>
  <c r="E211" i="1"/>
  <c r="C211" i="1"/>
  <c r="E210" i="1"/>
  <c r="C210" i="1"/>
  <c r="E209" i="1"/>
  <c r="C209" i="1"/>
  <c r="E208" i="1"/>
  <c r="C208" i="1"/>
  <c r="E207" i="1"/>
  <c r="C207" i="1"/>
  <c r="E206" i="1"/>
  <c r="C206" i="1"/>
  <c r="E205" i="1"/>
  <c r="C205" i="1"/>
  <c r="E204" i="1"/>
  <c r="C204" i="1"/>
  <c r="Q3" i="2"/>
  <c r="N3" i="2"/>
  <c r="K3" i="2"/>
  <c r="H3" i="2"/>
  <c r="E3" i="2"/>
  <c r="E201" i="1"/>
  <c r="C201" i="1"/>
  <c r="E200" i="1"/>
  <c r="C200" i="1"/>
  <c r="E199" i="1"/>
  <c r="C199" i="1"/>
  <c r="E198" i="1"/>
  <c r="C198" i="1"/>
  <c r="E197" i="1"/>
  <c r="C197" i="1"/>
  <c r="E196" i="1"/>
  <c r="C196" i="1"/>
  <c r="E195" i="1"/>
  <c r="C195" i="1"/>
  <c r="E194" i="1"/>
  <c r="C194" i="1"/>
  <c r="E191" i="1"/>
  <c r="C191" i="1"/>
  <c r="E190" i="1"/>
  <c r="C190" i="1"/>
  <c r="E189" i="1"/>
  <c r="C189" i="1"/>
  <c r="E188" i="1"/>
  <c r="C188" i="1"/>
  <c r="E187" i="1"/>
  <c r="C187" i="1"/>
  <c r="E186" i="1"/>
  <c r="C186" i="1"/>
  <c r="E185" i="1"/>
  <c r="C185" i="1"/>
  <c r="E184" i="1"/>
  <c r="C184" i="1"/>
  <c r="E181" i="1"/>
  <c r="C181" i="1"/>
  <c r="E180" i="1"/>
  <c r="C180" i="1"/>
  <c r="E179" i="1"/>
  <c r="C179" i="1"/>
  <c r="E178" i="1"/>
  <c r="C178" i="1"/>
  <c r="E177" i="1"/>
  <c r="C177" i="1"/>
  <c r="E176" i="1"/>
  <c r="C176" i="1"/>
  <c r="E175" i="1"/>
  <c r="C175" i="1"/>
  <c r="E174" i="1"/>
  <c r="C174" i="1"/>
  <c r="E171" i="1"/>
  <c r="C171" i="1"/>
  <c r="E170" i="1"/>
  <c r="C170" i="1"/>
  <c r="E169" i="1"/>
  <c r="C169" i="1"/>
  <c r="E168" i="1"/>
  <c r="G168" i="1" s="1"/>
  <c r="C168" i="1"/>
  <c r="E167" i="1"/>
  <c r="C167" i="1"/>
  <c r="E166" i="1"/>
  <c r="G166" i="1" s="1"/>
  <c r="C166" i="1"/>
  <c r="E165" i="1"/>
  <c r="C165" i="1"/>
  <c r="E164" i="1"/>
  <c r="C164" i="1"/>
  <c r="E161" i="1"/>
  <c r="C161" i="1"/>
  <c r="E160" i="1"/>
  <c r="C160" i="1"/>
  <c r="E159" i="1"/>
  <c r="C159" i="1"/>
  <c r="E158" i="1"/>
  <c r="C158" i="1"/>
  <c r="E157" i="1"/>
  <c r="C157" i="1"/>
  <c r="E156" i="1"/>
  <c r="C156" i="1"/>
  <c r="E155" i="1"/>
  <c r="C155" i="1"/>
  <c r="E154" i="1"/>
  <c r="C154" i="1"/>
  <c r="E151" i="1"/>
  <c r="C151" i="1"/>
  <c r="E150" i="1"/>
  <c r="C150" i="1"/>
  <c r="E149" i="1"/>
  <c r="C149" i="1"/>
  <c r="E148" i="1"/>
  <c r="C148" i="1"/>
  <c r="E147" i="1"/>
  <c r="C147" i="1"/>
  <c r="E146" i="1"/>
  <c r="C146" i="1"/>
  <c r="E145" i="1"/>
  <c r="C145" i="1"/>
  <c r="E144" i="1"/>
  <c r="C144" i="1"/>
  <c r="E141" i="1"/>
  <c r="C141" i="1"/>
  <c r="E140" i="1"/>
  <c r="C140" i="1"/>
  <c r="E139" i="1"/>
  <c r="C139" i="1"/>
  <c r="E138" i="1"/>
  <c r="C138" i="1"/>
  <c r="E137" i="1"/>
  <c r="C137" i="1"/>
  <c r="E136" i="1"/>
  <c r="C136" i="1"/>
  <c r="E135" i="1"/>
  <c r="C135" i="1"/>
  <c r="E134" i="1"/>
  <c r="C134" i="1"/>
  <c r="E131" i="1"/>
  <c r="C131" i="1"/>
  <c r="E130" i="1"/>
  <c r="C130" i="1"/>
  <c r="E129" i="1"/>
  <c r="C129" i="1"/>
  <c r="E128" i="1"/>
  <c r="C128" i="1"/>
  <c r="E127" i="1"/>
  <c r="C127" i="1"/>
  <c r="E126" i="1"/>
  <c r="C126" i="1"/>
  <c r="E125" i="1"/>
  <c r="C125" i="1"/>
  <c r="E124" i="1"/>
  <c r="C124" i="1"/>
  <c r="E121" i="1"/>
  <c r="C121" i="1"/>
  <c r="E120" i="1"/>
  <c r="C120" i="1"/>
  <c r="E119" i="1"/>
  <c r="C119" i="1"/>
  <c r="E118" i="1"/>
  <c r="C118" i="1"/>
  <c r="E117" i="1"/>
  <c r="C117" i="1"/>
  <c r="E116" i="1"/>
  <c r="C116" i="1"/>
  <c r="E115" i="1"/>
  <c r="C115" i="1"/>
  <c r="E114" i="1"/>
  <c r="C114" i="1"/>
  <c r="E111" i="1"/>
  <c r="C111" i="1"/>
  <c r="E110" i="1"/>
  <c r="C110" i="1"/>
  <c r="E109" i="1"/>
  <c r="C109" i="1"/>
  <c r="E108" i="1"/>
  <c r="C108" i="1"/>
  <c r="E107" i="1"/>
  <c r="C107" i="1"/>
  <c r="E106" i="1"/>
  <c r="C106" i="1"/>
  <c r="E105" i="1"/>
  <c r="C105" i="1"/>
  <c r="E104" i="1"/>
  <c r="C104" i="1"/>
  <c r="E101" i="1"/>
  <c r="C101" i="1"/>
  <c r="E100" i="1"/>
  <c r="C100" i="1"/>
  <c r="E99" i="1"/>
  <c r="C99" i="1"/>
  <c r="E98" i="1"/>
  <c r="C98" i="1"/>
  <c r="E97" i="1"/>
  <c r="C97" i="1"/>
  <c r="E96" i="1"/>
  <c r="C96" i="1"/>
  <c r="E95" i="1"/>
  <c r="C95" i="1"/>
  <c r="E94" i="1"/>
  <c r="C94" i="1"/>
  <c r="E91" i="1"/>
  <c r="C91" i="1"/>
  <c r="E90" i="1"/>
  <c r="C90" i="1"/>
  <c r="E89" i="1"/>
  <c r="C89" i="1"/>
  <c r="E88" i="1"/>
  <c r="C88" i="1"/>
  <c r="E87" i="1"/>
  <c r="C87" i="1"/>
  <c r="E86" i="1"/>
  <c r="C86" i="1"/>
  <c r="E85" i="1"/>
  <c r="C85" i="1"/>
  <c r="E84" i="1"/>
  <c r="C84" i="1"/>
  <c r="E81" i="1"/>
  <c r="C81" i="1"/>
  <c r="E80" i="1"/>
  <c r="C80" i="1"/>
  <c r="E79" i="1"/>
  <c r="C79" i="1"/>
  <c r="E78" i="1"/>
  <c r="C78" i="1"/>
  <c r="E77" i="1"/>
  <c r="C77" i="1"/>
  <c r="E76" i="1"/>
  <c r="C76" i="1"/>
  <c r="E75" i="1"/>
  <c r="C75" i="1"/>
  <c r="E74" i="1"/>
  <c r="C74" i="1"/>
  <c r="E71" i="1"/>
  <c r="C71" i="1"/>
  <c r="E70" i="1"/>
  <c r="C70" i="1"/>
  <c r="E69" i="1"/>
  <c r="C69" i="1"/>
  <c r="E68" i="1"/>
  <c r="C68" i="1"/>
  <c r="E67" i="1"/>
  <c r="C67" i="1"/>
  <c r="E66" i="1"/>
  <c r="C66" i="1"/>
  <c r="E65" i="1"/>
  <c r="C65" i="1"/>
  <c r="E64" i="1"/>
  <c r="C64" i="1"/>
  <c r="Q6" i="2"/>
  <c r="R6" i="2"/>
  <c r="Q7" i="2"/>
  <c r="R7" i="2"/>
  <c r="Q8" i="2"/>
  <c r="R8" i="2"/>
  <c r="Q9" i="2"/>
  <c r="R9" i="2"/>
  <c r="Q10" i="2"/>
  <c r="R10" i="2"/>
  <c r="Q11" i="2"/>
  <c r="R11" i="2"/>
  <c r="Q12" i="2"/>
  <c r="R12" i="2"/>
  <c r="N12" i="2"/>
  <c r="O12" i="2"/>
  <c r="N6" i="2"/>
  <c r="O6" i="2"/>
  <c r="N7" i="2"/>
  <c r="O7" i="2"/>
  <c r="N8" i="2"/>
  <c r="O8" i="2"/>
  <c r="N9" i="2"/>
  <c r="O9" i="2"/>
  <c r="N10" i="2"/>
  <c r="O10" i="2"/>
  <c r="N11" i="2"/>
  <c r="O11" i="2"/>
  <c r="R5" i="2"/>
  <c r="Q5" i="2"/>
  <c r="O5" i="2"/>
  <c r="N5" i="2"/>
  <c r="K6" i="2"/>
  <c r="L6" i="2"/>
  <c r="K7" i="2"/>
  <c r="L7" i="2"/>
  <c r="K8" i="2"/>
  <c r="L8" i="2"/>
  <c r="K9" i="2"/>
  <c r="L9" i="2"/>
  <c r="K10" i="2"/>
  <c r="L10" i="2"/>
  <c r="K11" i="2"/>
  <c r="L11" i="2"/>
  <c r="K12" i="2"/>
  <c r="L12" i="2"/>
  <c r="H6" i="2"/>
  <c r="I6" i="2"/>
  <c r="H7" i="2"/>
  <c r="I7" i="2"/>
  <c r="H8" i="2"/>
  <c r="I8" i="2"/>
  <c r="H9" i="2"/>
  <c r="I9" i="2"/>
  <c r="H10" i="2"/>
  <c r="I10" i="2"/>
  <c r="H11" i="2"/>
  <c r="I11" i="2"/>
  <c r="H12" i="2"/>
  <c r="I12" i="2"/>
  <c r="L5" i="2"/>
  <c r="K5" i="2"/>
  <c r="I5" i="2"/>
  <c r="H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F5" i="2"/>
  <c r="E5" i="2"/>
  <c r="B6" i="2"/>
  <c r="C6" i="2"/>
  <c r="B7" i="2"/>
  <c r="B8" i="2"/>
  <c r="B9" i="2"/>
  <c r="B10" i="2"/>
  <c r="C10" i="2"/>
  <c r="B11" i="2"/>
  <c r="C11" i="2"/>
  <c r="B12" i="2"/>
  <c r="C12" i="2"/>
  <c r="C5" i="2"/>
  <c r="B5" i="2"/>
  <c r="C4" i="1" l="1"/>
  <c r="C5" i="1"/>
  <c r="C6" i="1"/>
  <c r="C7" i="1"/>
  <c r="C8" i="1"/>
  <c r="C9" i="1"/>
  <c r="C10" i="1"/>
  <c r="C11" i="1"/>
  <c r="A5" i="2"/>
  <c r="E14" i="4"/>
  <c r="E19" i="4"/>
  <c r="Y19" i="4" l="1"/>
  <c r="Y15" i="4"/>
  <c r="Y11" i="4"/>
  <c r="Y7" i="4"/>
  <c r="Y18" i="4"/>
  <c r="Y14" i="4"/>
  <c r="Y10" i="4"/>
  <c r="Y6" i="4"/>
  <c r="E15" i="4"/>
  <c r="E18" i="4"/>
  <c r="E11" i="4"/>
  <c r="E10" i="4"/>
  <c r="E7" i="4"/>
  <c r="E6" i="4"/>
  <c r="L4" i="3" l="1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I4" i="3"/>
  <c r="J4" i="3" s="1"/>
  <c r="I5" i="3"/>
  <c r="J5" i="3" s="1"/>
  <c r="I6" i="3"/>
  <c r="J6" i="3" s="1"/>
  <c r="I7" i="3"/>
  <c r="J7" i="3" s="1"/>
  <c r="I8" i="3"/>
  <c r="J8" i="3" s="1"/>
  <c r="I9" i="3"/>
  <c r="J9" i="3" s="1"/>
  <c r="I10" i="3"/>
  <c r="J10" i="3" s="1"/>
  <c r="I11" i="3"/>
  <c r="J11" i="3" s="1"/>
  <c r="I12" i="3"/>
  <c r="J12" i="3" s="1"/>
  <c r="I13" i="3"/>
  <c r="J13" i="3" s="1"/>
  <c r="I14" i="3"/>
  <c r="J14" i="3" s="1"/>
  <c r="I15" i="3"/>
  <c r="J15" i="3" s="1"/>
  <c r="I16" i="3"/>
  <c r="J16" i="3" s="1"/>
  <c r="I17" i="3"/>
  <c r="J17" i="3" s="1"/>
  <c r="I18" i="3"/>
  <c r="J18" i="3" s="1"/>
  <c r="D65" i="1" l="1"/>
  <c r="F65" i="1" s="1"/>
  <c r="D85" i="1"/>
  <c r="D95" i="1"/>
  <c r="D275" i="1"/>
  <c r="D75" i="1"/>
  <c r="D115" i="1"/>
  <c r="D105" i="1"/>
  <c r="D175" i="1"/>
  <c r="D155" i="1"/>
  <c r="D145" i="1"/>
  <c r="D125" i="1"/>
  <c r="D255" i="1"/>
  <c r="D245" i="1"/>
  <c r="D225" i="1"/>
  <c r="D215" i="1"/>
  <c r="D71" i="1"/>
  <c r="G71" i="1" s="1"/>
  <c r="V12" i="2" s="1"/>
  <c r="D238" i="1"/>
  <c r="D190" i="1"/>
  <c r="D180" i="1"/>
  <c r="D170" i="1"/>
  <c r="G170" i="1" s="1"/>
  <c r="D150" i="1"/>
  <c r="D140" i="1"/>
  <c r="D130" i="1"/>
  <c r="D120" i="1"/>
  <c r="D270" i="1"/>
  <c r="D110" i="1"/>
  <c r="D100" i="1"/>
  <c r="D90" i="1"/>
  <c r="D118" i="1"/>
  <c r="D260" i="1"/>
  <c r="D250" i="1"/>
  <c r="D240" i="1"/>
  <c r="D220" i="1"/>
  <c r="D210" i="1"/>
  <c r="D109" i="1"/>
  <c r="D79" i="1"/>
  <c r="D69" i="1"/>
  <c r="D119" i="1"/>
  <c r="D199" i="1"/>
  <c r="D189" i="1"/>
  <c r="D99" i="1"/>
  <c r="D279" i="1"/>
  <c r="D179" i="1"/>
  <c r="D169" i="1"/>
  <c r="G169" i="1" s="1"/>
  <c r="D159" i="1"/>
  <c r="D149" i="1"/>
  <c r="D139" i="1"/>
  <c r="D89" i="1"/>
  <c r="D129" i="1"/>
  <c r="D269" i="1"/>
  <c r="D259" i="1"/>
  <c r="D249" i="1"/>
  <c r="D239" i="1"/>
  <c r="D229" i="1"/>
  <c r="D219" i="1"/>
  <c r="D209" i="1"/>
  <c r="D66" i="1"/>
  <c r="D196" i="1"/>
  <c r="D186" i="1"/>
  <c r="D176" i="1"/>
  <c r="D166" i="1"/>
  <c r="D146" i="1"/>
  <c r="D136" i="1"/>
  <c r="D126" i="1"/>
  <c r="D276" i="1"/>
  <c r="D106" i="1"/>
  <c r="D96" i="1"/>
  <c r="D86" i="1"/>
  <c r="D76" i="1"/>
  <c r="D256" i="1"/>
  <c r="D246" i="1"/>
  <c r="D236" i="1"/>
  <c r="D226" i="1"/>
  <c r="D216" i="1"/>
  <c r="D264" i="1"/>
  <c r="D254" i="1"/>
  <c r="D244" i="1"/>
  <c r="D204" i="1"/>
  <c r="D104" i="1"/>
  <c r="D194" i="1"/>
  <c r="D94" i="1"/>
  <c r="D174" i="1"/>
  <c r="D154" i="1"/>
  <c r="D144" i="1"/>
  <c r="D134" i="1"/>
  <c r="D124" i="1"/>
  <c r="D274" i="1"/>
  <c r="D64" i="1"/>
  <c r="D74" i="1"/>
  <c r="D234" i="1"/>
  <c r="D224" i="1"/>
  <c r="D214" i="1"/>
  <c r="D114" i="1"/>
  <c r="D184" i="1"/>
  <c r="D164" i="1"/>
  <c r="D84" i="1"/>
  <c r="D167" i="1"/>
  <c r="G167" i="1" s="1"/>
  <c r="D157" i="1"/>
  <c r="D147" i="1"/>
  <c r="D77" i="1"/>
  <c r="D127" i="1"/>
  <c r="D117" i="1"/>
  <c r="D87" i="1"/>
  <c r="D267" i="1"/>
  <c r="D257" i="1"/>
  <c r="D237" i="1"/>
  <c r="D227" i="1"/>
  <c r="D217" i="1"/>
  <c r="D207" i="1"/>
  <c r="D197" i="1"/>
  <c r="D187" i="1"/>
  <c r="D70" i="1"/>
  <c r="F70" i="1" s="1"/>
  <c r="D181" i="1"/>
  <c r="D171" i="1"/>
  <c r="G171" i="1" s="1"/>
  <c r="D161" i="1"/>
  <c r="D151" i="1"/>
  <c r="D141" i="1"/>
  <c r="D131" i="1"/>
  <c r="D91" i="1"/>
  <c r="D121" i="1"/>
  <c r="D101" i="1"/>
  <c r="D281" i="1"/>
  <c r="D111" i="1"/>
  <c r="D261" i="1"/>
  <c r="D241" i="1"/>
  <c r="D231" i="1"/>
  <c r="D211" i="1"/>
  <c r="D201" i="1"/>
  <c r="D191" i="1"/>
  <c r="D195" i="1"/>
  <c r="D185" i="1"/>
  <c r="D165" i="1"/>
  <c r="G165" i="1" s="1"/>
  <c r="D135" i="1"/>
  <c r="D265" i="1"/>
  <c r="D235" i="1"/>
  <c r="D205" i="1"/>
  <c r="D67" i="1"/>
  <c r="D177" i="1"/>
  <c r="D137" i="1"/>
  <c r="D107" i="1"/>
  <c r="D277" i="1"/>
  <c r="D97" i="1"/>
  <c r="D247" i="1"/>
  <c r="D68" i="1"/>
  <c r="F68" i="1" s="1"/>
  <c r="D268" i="1"/>
  <c r="D258" i="1"/>
  <c r="D248" i="1"/>
  <c r="D228" i="1"/>
  <c r="D218" i="1"/>
  <c r="D208" i="1"/>
  <c r="D78" i="1"/>
  <c r="D108" i="1"/>
  <c r="D98" i="1"/>
  <c r="D278" i="1"/>
  <c r="D198" i="1"/>
  <c r="D188" i="1"/>
  <c r="D178" i="1"/>
  <c r="D168" i="1"/>
  <c r="D158" i="1"/>
  <c r="D148" i="1"/>
  <c r="D138" i="1"/>
  <c r="D128" i="1"/>
  <c r="D88" i="1"/>
  <c r="D81" i="1"/>
  <c r="D271" i="1"/>
  <c r="D251" i="1"/>
  <c r="D221" i="1"/>
  <c r="D156" i="1"/>
  <c r="D116" i="1"/>
  <c r="D266" i="1"/>
  <c r="D206" i="1"/>
  <c r="E55" i="1"/>
  <c r="E56" i="1"/>
  <c r="E57" i="1"/>
  <c r="E58" i="1"/>
  <c r="E59" i="1"/>
  <c r="E60" i="1"/>
  <c r="E61" i="1"/>
  <c r="E54" i="1"/>
  <c r="E45" i="1"/>
  <c r="E46" i="1"/>
  <c r="E47" i="1"/>
  <c r="E48" i="1"/>
  <c r="E49" i="1"/>
  <c r="E50" i="1"/>
  <c r="E51" i="1"/>
  <c r="E44" i="1"/>
  <c r="E35" i="1"/>
  <c r="E36" i="1"/>
  <c r="E37" i="1"/>
  <c r="E38" i="1"/>
  <c r="E39" i="1"/>
  <c r="E40" i="1"/>
  <c r="E41" i="1"/>
  <c r="E34" i="1"/>
  <c r="E5" i="1"/>
  <c r="E6" i="1"/>
  <c r="E7" i="1"/>
  <c r="E8" i="1"/>
  <c r="E9" i="1"/>
  <c r="E10" i="1"/>
  <c r="E11" i="1"/>
  <c r="E4" i="1"/>
  <c r="E15" i="1"/>
  <c r="E16" i="1"/>
  <c r="E17" i="1"/>
  <c r="E18" i="1"/>
  <c r="E19" i="1"/>
  <c r="E20" i="1"/>
  <c r="E21" i="1"/>
  <c r="E14" i="1"/>
  <c r="E25" i="1"/>
  <c r="E26" i="1"/>
  <c r="E27" i="1"/>
  <c r="E28" i="1"/>
  <c r="E29" i="1"/>
  <c r="E30" i="1"/>
  <c r="E31" i="1"/>
  <c r="E24" i="1"/>
  <c r="E2" i="3"/>
  <c r="G65" i="1" l="1"/>
  <c r="V6" i="2" s="1"/>
  <c r="G69" i="1"/>
  <c r="V10" i="2" s="1"/>
  <c r="F69" i="1"/>
  <c r="F66" i="1"/>
  <c r="G70" i="1"/>
  <c r="V11" i="2" s="1"/>
  <c r="F64" i="1"/>
  <c r="F71" i="1"/>
  <c r="F67" i="1"/>
  <c r="G68" i="1"/>
  <c r="V9" i="2" s="1"/>
  <c r="G67" i="1"/>
  <c r="V8" i="2" s="1"/>
  <c r="G64" i="1"/>
  <c r="V5" i="2" s="1"/>
  <c r="F237" i="1"/>
  <c r="G237" i="1"/>
  <c r="BU8" i="2" s="1"/>
  <c r="G210" i="1"/>
  <c r="BL11" i="2" s="1"/>
  <c r="F210" i="1"/>
  <c r="G271" i="1"/>
  <c r="CD12" i="2" s="1"/>
  <c r="F271" i="1"/>
  <c r="G114" i="1"/>
  <c r="AK5" i="2" s="1"/>
  <c r="F114" i="1"/>
  <c r="F220" i="1"/>
  <c r="G220" i="1"/>
  <c r="BO11" i="2" s="1"/>
  <c r="G125" i="1"/>
  <c r="AN6" i="2" s="1"/>
  <c r="F125" i="1"/>
  <c r="F81" i="1"/>
  <c r="G81" i="1"/>
  <c r="Y12" i="2" s="1"/>
  <c r="F108" i="1"/>
  <c r="G108" i="1"/>
  <c r="AH9" i="2" s="1"/>
  <c r="G107" i="1"/>
  <c r="AH8" i="2" s="1"/>
  <c r="F107" i="1"/>
  <c r="F201" i="1"/>
  <c r="G201" i="1"/>
  <c r="BI12" i="2" s="1"/>
  <c r="F151" i="1"/>
  <c r="G151" i="1"/>
  <c r="AT12" i="2" s="1"/>
  <c r="F267" i="1"/>
  <c r="G267" i="1"/>
  <c r="CD8" i="2" s="1"/>
  <c r="F214" i="1"/>
  <c r="G214" i="1"/>
  <c r="BO5" i="2" s="1"/>
  <c r="F194" i="1"/>
  <c r="G194" i="1"/>
  <c r="BI5" i="2" s="1"/>
  <c r="G86" i="1"/>
  <c r="AB7" i="2" s="1"/>
  <c r="F86" i="1"/>
  <c r="F209" i="1"/>
  <c r="G209" i="1"/>
  <c r="BL10" i="2" s="1"/>
  <c r="F169" i="1"/>
  <c r="AZ10" i="2"/>
  <c r="F240" i="1"/>
  <c r="G240" i="1"/>
  <c r="BU11" i="2" s="1"/>
  <c r="G150" i="1"/>
  <c r="AT11" i="2" s="1"/>
  <c r="F150" i="1"/>
  <c r="F145" i="1"/>
  <c r="G145" i="1"/>
  <c r="AT6" i="2" s="1"/>
  <c r="G184" i="1"/>
  <c r="BF5" i="2" s="1"/>
  <c r="F184" i="1"/>
  <c r="F141" i="1"/>
  <c r="G141" i="1"/>
  <c r="AQ12" i="2" s="1"/>
  <c r="G140" i="1"/>
  <c r="AQ11" i="2" s="1"/>
  <c r="F140" i="1"/>
  <c r="F88" i="1"/>
  <c r="G88" i="1"/>
  <c r="AB9" i="2" s="1"/>
  <c r="F78" i="1"/>
  <c r="G78" i="1"/>
  <c r="Y9" i="2" s="1"/>
  <c r="G137" i="1"/>
  <c r="AQ8" i="2" s="1"/>
  <c r="F137" i="1"/>
  <c r="G211" i="1"/>
  <c r="BL12" i="2" s="1"/>
  <c r="F211" i="1"/>
  <c r="G161" i="1"/>
  <c r="AW12" i="2" s="1"/>
  <c r="F161" i="1"/>
  <c r="G87" i="1"/>
  <c r="AB8" i="2" s="1"/>
  <c r="F87" i="1"/>
  <c r="G224" i="1"/>
  <c r="BR5" i="2" s="1"/>
  <c r="F224" i="1"/>
  <c r="G104" i="1"/>
  <c r="AH5" i="2" s="1"/>
  <c r="F104" i="1"/>
  <c r="G96" i="1"/>
  <c r="AE7" i="2" s="1"/>
  <c r="F96" i="1"/>
  <c r="G219" i="1"/>
  <c r="BO10" i="2" s="1"/>
  <c r="F219" i="1"/>
  <c r="F179" i="1"/>
  <c r="G179" i="1"/>
  <c r="BC10" i="2" s="1"/>
  <c r="G250" i="1"/>
  <c r="BX11" i="2" s="1"/>
  <c r="F250" i="1"/>
  <c r="G155" i="1"/>
  <c r="AW6" i="2" s="1"/>
  <c r="F155" i="1"/>
  <c r="G256" i="1"/>
  <c r="CA7" i="2" s="1"/>
  <c r="F256" i="1"/>
  <c r="G257" i="1"/>
  <c r="CA8" i="2" s="1"/>
  <c r="F257" i="1"/>
  <c r="F128" i="1"/>
  <c r="G128" i="1"/>
  <c r="AN9" i="2" s="1"/>
  <c r="F208" i="1"/>
  <c r="G208" i="1"/>
  <c r="BL9" i="2" s="1"/>
  <c r="G177" i="1"/>
  <c r="BC8" i="2" s="1"/>
  <c r="F177" i="1"/>
  <c r="G231" i="1"/>
  <c r="BR12" i="2" s="1"/>
  <c r="F231" i="1"/>
  <c r="AZ12" i="2"/>
  <c r="F171" i="1"/>
  <c r="G117" i="1"/>
  <c r="AK8" i="2" s="1"/>
  <c r="F117" i="1"/>
  <c r="F234" i="1"/>
  <c r="G234" i="1"/>
  <c r="BU5" i="2" s="1"/>
  <c r="G204" i="1"/>
  <c r="BL5" i="2" s="1"/>
  <c r="F204" i="1"/>
  <c r="F106" i="1"/>
  <c r="G106" i="1"/>
  <c r="AH7" i="2" s="1"/>
  <c r="G229" i="1"/>
  <c r="BR10" i="2" s="1"/>
  <c r="F229" i="1"/>
  <c r="G279" i="1"/>
  <c r="CG10" i="2" s="1"/>
  <c r="F279" i="1"/>
  <c r="F260" i="1"/>
  <c r="G260" i="1"/>
  <c r="CA11" i="2" s="1"/>
  <c r="AZ11" i="2"/>
  <c r="F170" i="1"/>
  <c r="G175" i="1"/>
  <c r="BC6" i="2" s="1"/>
  <c r="F175" i="1"/>
  <c r="G149" i="1"/>
  <c r="AT10" i="2" s="1"/>
  <c r="F149" i="1"/>
  <c r="F98" i="1"/>
  <c r="G98" i="1"/>
  <c r="AE9" i="2" s="1"/>
  <c r="G138" i="1"/>
  <c r="AQ9" i="2" s="1"/>
  <c r="F138" i="1"/>
  <c r="F218" i="1"/>
  <c r="G218" i="1"/>
  <c r="BO9" i="2" s="1"/>
  <c r="F241" i="1"/>
  <c r="G241" i="1"/>
  <c r="BU12" i="2" s="1"/>
  <c r="G181" i="1"/>
  <c r="BC12" i="2" s="1"/>
  <c r="F181" i="1"/>
  <c r="F127" i="1"/>
  <c r="G127" i="1"/>
  <c r="AN8" i="2" s="1"/>
  <c r="F74" i="1"/>
  <c r="G74" i="1"/>
  <c r="Y5" i="2" s="1"/>
  <c r="G244" i="1"/>
  <c r="BX5" i="2" s="1"/>
  <c r="F244" i="1"/>
  <c r="F276" i="1"/>
  <c r="G276" i="1"/>
  <c r="CG7" i="2" s="1"/>
  <c r="G239" i="1"/>
  <c r="BU10" i="2" s="1"/>
  <c r="F239" i="1"/>
  <c r="G99" i="1"/>
  <c r="AE10" i="2" s="1"/>
  <c r="F99" i="1"/>
  <c r="G118" i="1"/>
  <c r="AK9" i="2" s="1"/>
  <c r="F118" i="1"/>
  <c r="F180" i="1"/>
  <c r="G180" i="1"/>
  <c r="BC11" i="2" s="1"/>
  <c r="G105" i="1"/>
  <c r="AH6" i="2" s="1"/>
  <c r="F105" i="1"/>
  <c r="F195" i="1"/>
  <c r="G195" i="1"/>
  <c r="BI6" i="2" s="1"/>
  <c r="F159" i="1"/>
  <c r="G159" i="1"/>
  <c r="AW10" i="2" s="1"/>
  <c r="F148" i="1"/>
  <c r="G148" i="1"/>
  <c r="AT9" i="2" s="1"/>
  <c r="G228" i="1"/>
  <c r="BR9" i="2" s="1"/>
  <c r="F228" i="1"/>
  <c r="G205" i="1"/>
  <c r="BL6" i="2" s="1"/>
  <c r="F205" i="1"/>
  <c r="F261" i="1"/>
  <c r="G261" i="1"/>
  <c r="CA12" i="2" s="1"/>
  <c r="G77" i="1"/>
  <c r="Y8" i="2" s="1"/>
  <c r="F77" i="1"/>
  <c r="G254" i="1"/>
  <c r="CA5" i="2" s="1"/>
  <c r="F254" i="1"/>
  <c r="G126" i="1"/>
  <c r="AN7" i="2" s="1"/>
  <c r="F126" i="1"/>
  <c r="G249" i="1"/>
  <c r="BX10" i="2" s="1"/>
  <c r="F249" i="1"/>
  <c r="G189" i="1"/>
  <c r="BF10" i="2" s="1"/>
  <c r="F189" i="1"/>
  <c r="G190" i="1"/>
  <c r="BF11" i="2" s="1"/>
  <c r="F190" i="1"/>
  <c r="G115" i="1"/>
  <c r="AK6" i="2" s="1"/>
  <c r="F115" i="1"/>
  <c r="G131" i="1"/>
  <c r="AN12" i="2" s="1"/>
  <c r="F131" i="1"/>
  <c r="G255" i="1"/>
  <c r="CA6" i="2" s="1"/>
  <c r="F255" i="1"/>
  <c r="F94" i="1"/>
  <c r="G94" i="1"/>
  <c r="AE5" i="2" s="1"/>
  <c r="G206" i="1"/>
  <c r="BL7" i="2" s="1"/>
  <c r="F206" i="1"/>
  <c r="F158" i="1"/>
  <c r="G158" i="1"/>
  <c r="AW9" i="2" s="1"/>
  <c r="G248" i="1"/>
  <c r="BX9" i="2" s="1"/>
  <c r="F248" i="1"/>
  <c r="G235" i="1"/>
  <c r="BU6" i="2" s="1"/>
  <c r="F235" i="1"/>
  <c r="G111" i="1"/>
  <c r="AH12" i="2" s="1"/>
  <c r="F111" i="1"/>
  <c r="G187" i="1"/>
  <c r="BF8" i="2" s="1"/>
  <c r="F187" i="1"/>
  <c r="G147" i="1"/>
  <c r="AT8" i="2" s="1"/>
  <c r="F147" i="1"/>
  <c r="F274" i="1"/>
  <c r="G274" i="1"/>
  <c r="CG5" i="2" s="1"/>
  <c r="G264" i="1"/>
  <c r="CD5" i="2" s="1"/>
  <c r="F264" i="1"/>
  <c r="G136" i="1"/>
  <c r="AQ7" i="2" s="1"/>
  <c r="F136" i="1"/>
  <c r="G259" i="1"/>
  <c r="CA10" i="2" s="1"/>
  <c r="F259" i="1"/>
  <c r="G199" i="1"/>
  <c r="BI10" i="2" s="1"/>
  <c r="F199" i="1"/>
  <c r="G90" i="1"/>
  <c r="AB11" i="2" s="1"/>
  <c r="F90" i="1"/>
  <c r="F238" i="1"/>
  <c r="G238" i="1"/>
  <c r="BU9" i="2" s="1"/>
  <c r="F75" i="1"/>
  <c r="G75" i="1"/>
  <c r="Y6" i="2" s="1"/>
  <c r="G174" i="1"/>
  <c r="BC5" i="2" s="1"/>
  <c r="F174" i="1"/>
  <c r="G277" i="1"/>
  <c r="CG8" i="2" s="1"/>
  <c r="F277" i="1"/>
  <c r="F266" i="1"/>
  <c r="G266" i="1"/>
  <c r="CD7" i="2" s="1"/>
  <c r="F168" i="1"/>
  <c r="AZ9" i="2"/>
  <c r="G258" i="1"/>
  <c r="CA9" i="2" s="1"/>
  <c r="F258" i="1"/>
  <c r="G265" i="1"/>
  <c r="CD6" i="2" s="1"/>
  <c r="F265" i="1"/>
  <c r="F281" i="1"/>
  <c r="G281" i="1"/>
  <c r="CG12" i="2" s="1"/>
  <c r="G197" i="1"/>
  <c r="BI8" i="2" s="1"/>
  <c r="F197" i="1"/>
  <c r="G157" i="1"/>
  <c r="AW8" i="2" s="1"/>
  <c r="F157" i="1"/>
  <c r="F124" i="1"/>
  <c r="G124" i="1"/>
  <c r="AN5" i="2" s="1"/>
  <c r="G216" i="1"/>
  <c r="BO7" i="2" s="1"/>
  <c r="F216" i="1"/>
  <c r="F146" i="1"/>
  <c r="G146" i="1"/>
  <c r="AT7" i="2" s="1"/>
  <c r="G269" i="1"/>
  <c r="CD10" i="2" s="1"/>
  <c r="F269" i="1"/>
  <c r="F119" i="1"/>
  <c r="G119" i="1"/>
  <c r="AK10" i="2" s="1"/>
  <c r="F100" i="1"/>
  <c r="G100" i="1"/>
  <c r="AE11" i="2" s="1"/>
  <c r="G275" i="1"/>
  <c r="CG6" i="2" s="1"/>
  <c r="F275" i="1"/>
  <c r="G251" i="1"/>
  <c r="BX12" i="2" s="1"/>
  <c r="F251" i="1"/>
  <c r="G130" i="1"/>
  <c r="AN11" i="2" s="1"/>
  <c r="F130" i="1"/>
  <c r="F191" i="1"/>
  <c r="G191" i="1"/>
  <c r="BF12" i="2" s="1"/>
  <c r="G66" i="1"/>
  <c r="G116" i="1"/>
  <c r="AK7" i="2" s="1"/>
  <c r="F116" i="1"/>
  <c r="F178" i="1"/>
  <c r="G178" i="1"/>
  <c r="BC9" i="2" s="1"/>
  <c r="F268" i="1"/>
  <c r="G268" i="1"/>
  <c r="CD9" i="2" s="1"/>
  <c r="G135" i="1"/>
  <c r="AQ6" i="2" s="1"/>
  <c r="F135" i="1"/>
  <c r="F101" i="1"/>
  <c r="G101" i="1"/>
  <c r="AE12" i="2" s="1"/>
  <c r="F207" i="1"/>
  <c r="G207" i="1"/>
  <c r="BL8" i="2" s="1"/>
  <c r="F167" i="1"/>
  <c r="AZ8" i="2"/>
  <c r="G134" i="1"/>
  <c r="AQ5" i="2" s="1"/>
  <c r="F134" i="1"/>
  <c r="G226" i="1"/>
  <c r="BR7" i="2" s="1"/>
  <c r="F226" i="1"/>
  <c r="AZ7" i="2"/>
  <c r="F166" i="1"/>
  <c r="F129" i="1"/>
  <c r="G129" i="1"/>
  <c r="AN10" i="2" s="1"/>
  <c r="F110" i="1"/>
  <c r="G110" i="1"/>
  <c r="AH11" i="2" s="1"/>
  <c r="F215" i="1"/>
  <c r="G215" i="1"/>
  <c r="BO6" i="2" s="1"/>
  <c r="G95" i="1"/>
  <c r="AE6" i="2" s="1"/>
  <c r="F95" i="1"/>
  <c r="F97" i="1"/>
  <c r="G97" i="1"/>
  <c r="AE8" i="2" s="1"/>
  <c r="F156" i="1"/>
  <c r="G156" i="1"/>
  <c r="AW7" i="2" s="1"/>
  <c r="G188" i="1"/>
  <c r="BF9" i="2" s="1"/>
  <c r="F188" i="1"/>
  <c r="AZ6" i="2"/>
  <c r="F165" i="1"/>
  <c r="F121" i="1"/>
  <c r="G121" i="1"/>
  <c r="AK12" i="2" s="1"/>
  <c r="F217" i="1"/>
  <c r="G217" i="1"/>
  <c r="BO8" i="2" s="1"/>
  <c r="F84" i="1"/>
  <c r="G84" i="1"/>
  <c r="AB5" i="2" s="1"/>
  <c r="F144" i="1"/>
  <c r="G144" i="1"/>
  <c r="AT5" i="2" s="1"/>
  <c r="G236" i="1"/>
  <c r="BU7" i="2" s="1"/>
  <c r="F236" i="1"/>
  <c r="G176" i="1"/>
  <c r="BC7" i="2" s="1"/>
  <c r="F176" i="1"/>
  <c r="F89" i="1"/>
  <c r="G89" i="1"/>
  <c r="AB10" i="2" s="1"/>
  <c r="G79" i="1"/>
  <c r="Y10" i="2" s="1"/>
  <c r="F79" i="1"/>
  <c r="F270" i="1"/>
  <c r="G270" i="1"/>
  <c r="CD11" i="2" s="1"/>
  <c r="F225" i="1"/>
  <c r="G225" i="1"/>
  <c r="BR6" i="2" s="1"/>
  <c r="G85" i="1"/>
  <c r="AB6" i="2" s="1"/>
  <c r="F85" i="1"/>
  <c r="F278" i="1"/>
  <c r="G278" i="1"/>
  <c r="CG9" i="2" s="1"/>
  <c r="G196" i="1"/>
  <c r="BI7" i="2" s="1"/>
  <c r="F196" i="1"/>
  <c r="F76" i="1"/>
  <c r="G76" i="1"/>
  <c r="Y7" i="2" s="1"/>
  <c r="F221" i="1"/>
  <c r="G221" i="1"/>
  <c r="BO12" i="2" s="1"/>
  <c r="F198" i="1"/>
  <c r="G198" i="1"/>
  <c r="BI9" i="2" s="1"/>
  <c r="F247" i="1"/>
  <c r="G247" i="1"/>
  <c r="BX8" i="2" s="1"/>
  <c r="F185" i="1"/>
  <c r="G185" i="1"/>
  <c r="BF6" i="2" s="1"/>
  <c r="G91" i="1"/>
  <c r="AB12" i="2" s="1"/>
  <c r="F91" i="1"/>
  <c r="F227" i="1"/>
  <c r="G227" i="1"/>
  <c r="BR8" i="2" s="1"/>
  <c r="F164" i="1"/>
  <c r="G164" i="1"/>
  <c r="AZ5" i="2" s="1"/>
  <c r="F154" i="1"/>
  <c r="G154" i="1"/>
  <c r="AW5" i="2" s="1"/>
  <c r="F246" i="1"/>
  <c r="G246" i="1"/>
  <c r="BX7" i="2" s="1"/>
  <c r="G186" i="1"/>
  <c r="BF7" i="2" s="1"/>
  <c r="F186" i="1"/>
  <c r="F139" i="1"/>
  <c r="G139" i="1"/>
  <c r="AQ10" i="2" s="1"/>
  <c r="F109" i="1"/>
  <c r="G109" i="1"/>
  <c r="AH10" i="2" s="1"/>
  <c r="F120" i="1"/>
  <c r="G120" i="1"/>
  <c r="AK11" i="2" s="1"/>
  <c r="F245" i="1"/>
  <c r="G245" i="1"/>
  <c r="BX6" i="2" s="1"/>
  <c r="I3" i="3"/>
  <c r="J3" i="3" s="1"/>
  <c r="D160" i="1" l="1"/>
  <c r="D80" i="1"/>
  <c r="F63" i="1"/>
  <c r="U3" i="2" s="1"/>
  <c r="C39" i="2" s="1"/>
  <c r="G63" i="1"/>
  <c r="V7" i="2"/>
  <c r="F213" i="1"/>
  <c r="BN3" i="2" s="1"/>
  <c r="F173" i="1"/>
  <c r="BB3" i="2" s="1"/>
  <c r="F203" i="1"/>
  <c r="BK3" i="2" s="1"/>
  <c r="G173" i="1"/>
  <c r="G123" i="1"/>
  <c r="G203" i="1"/>
  <c r="G83" i="1"/>
  <c r="F263" i="1"/>
  <c r="CC3" i="2" s="1"/>
  <c r="F113" i="1"/>
  <c r="AJ3" i="2" s="1"/>
  <c r="G143" i="1"/>
  <c r="G253" i="1"/>
  <c r="G233" i="1"/>
  <c r="F233" i="1"/>
  <c r="BT3" i="2" s="1"/>
  <c r="G113" i="1"/>
  <c r="F253" i="1"/>
  <c r="BZ3" i="2" s="1"/>
  <c r="G163" i="1"/>
  <c r="G93" i="1"/>
  <c r="G183" i="1"/>
  <c r="D200" i="1"/>
  <c r="D280" i="1"/>
  <c r="D230" i="1"/>
  <c r="F163" i="1"/>
  <c r="AY3" i="2" s="1"/>
  <c r="F83" i="1"/>
  <c r="AA3" i="2" s="1"/>
  <c r="F243" i="1"/>
  <c r="BW3" i="2" s="1"/>
  <c r="G263" i="1"/>
  <c r="G213" i="1"/>
  <c r="F93" i="1"/>
  <c r="AD3" i="2" s="1"/>
  <c r="F133" i="1"/>
  <c r="F123" i="1"/>
  <c r="AM3" i="2" s="1"/>
  <c r="G243" i="1"/>
  <c r="F143" i="1"/>
  <c r="F183" i="1"/>
  <c r="BE3" i="2" s="1"/>
  <c r="F103" i="1"/>
  <c r="AG3" i="2" s="1"/>
  <c r="G133" i="1"/>
  <c r="G103" i="1"/>
  <c r="D11" i="1"/>
  <c r="D9" i="1"/>
  <c r="D8" i="1"/>
  <c r="D10" i="1"/>
  <c r="L3" i="3"/>
  <c r="C14" i="1"/>
  <c r="C15" i="1"/>
  <c r="C16" i="1"/>
  <c r="C17" i="1"/>
  <c r="C18" i="1"/>
  <c r="C19" i="1"/>
  <c r="C20" i="1"/>
  <c r="C21" i="1"/>
  <c r="C24" i="1"/>
  <c r="C25" i="1"/>
  <c r="C26" i="1"/>
  <c r="C27" i="1"/>
  <c r="C28" i="1"/>
  <c r="C29" i="1"/>
  <c r="C30" i="1"/>
  <c r="C31" i="1"/>
  <c r="C34" i="1"/>
  <c r="C35" i="1"/>
  <c r="C36" i="1"/>
  <c r="C37" i="1"/>
  <c r="C38" i="1"/>
  <c r="C39" i="1"/>
  <c r="C40" i="1"/>
  <c r="C41" i="1"/>
  <c r="C44" i="1"/>
  <c r="C45" i="1"/>
  <c r="C46" i="1"/>
  <c r="C47" i="1"/>
  <c r="C48" i="1"/>
  <c r="C49" i="1"/>
  <c r="C50" i="1"/>
  <c r="C51" i="1"/>
  <c r="C54" i="1"/>
  <c r="C55" i="1"/>
  <c r="C56" i="1"/>
  <c r="C57" i="1"/>
  <c r="C58" i="1"/>
  <c r="C59" i="1"/>
  <c r="C60" i="1"/>
  <c r="C61" i="1"/>
  <c r="D14" i="1"/>
  <c r="D6" i="1"/>
  <c r="D20" i="1"/>
  <c r="D21" i="1"/>
  <c r="D46" i="1"/>
  <c r="D5" i="1"/>
  <c r="D15" i="1"/>
  <c r="F80" i="1" l="1"/>
  <c r="F73" i="1" s="1"/>
  <c r="X3" i="2" s="1"/>
  <c r="C22" i="2" s="1"/>
  <c r="G80" i="1"/>
  <c r="F160" i="1"/>
  <c r="F153" i="1" s="1"/>
  <c r="AV3" i="2" s="1"/>
  <c r="C19" i="2" s="1"/>
  <c r="G160" i="1"/>
  <c r="V3" i="2" a="1"/>
  <c r="V3" i="2" s="1"/>
  <c r="D39" i="2" s="1"/>
  <c r="CD3" i="2" a="1"/>
  <c r="CD3" i="2" s="1"/>
  <c r="D38" i="2" s="1"/>
  <c r="C38" i="2"/>
  <c r="CA3" i="2" a="1"/>
  <c r="CA3" i="2" s="1"/>
  <c r="D25" i="2" s="1"/>
  <c r="C25" i="2"/>
  <c r="BX3" i="2" a="1"/>
  <c r="BX3" i="2" s="1"/>
  <c r="D27" i="2" s="1"/>
  <c r="C27" i="2"/>
  <c r="BU3" i="2" a="1"/>
  <c r="BU3" i="2" s="1"/>
  <c r="D29" i="2" s="1"/>
  <c r="C29" i="2"/>
  <c r="BO3" i="2" a="1"/>
  <c r="BO3" i="2" s="1"/>
  <c r="D26" i="2" s="1"/>
  <c r="C26" i="2"/>
  <c r="BL3" i="2" a="1"/>
  <c r="BL3" i="2" s="1"/>
  <c r="D44" i="2" s="1"/>
  <c r="C44" i="2"/>
  <c r="BF3" i="2" a="1"/>
  <c r="BF3" i="2" s="1"/>
  <c r="D23" i="2" s="1"/>
  <c r="C23" i="2"/>
  <c r="BC3" i="2" a="1"/>
  <c r="BC3" i="2" s="1"/>
  <c r="D17" i="2" s="1"/>
  <c r="C17" i="2"/>
  <c r="AZ3" i="2" a="1"/>
  <c r="AZ3" i="2" s="1"/>
  <c r="D37" i="2" s="1"/>
  <c r="C37" i="2"/>
  <c r="AP3" i="2"/>
  <c r="AS3" i="2"/>
  <c r="AN3" i="2" a="1"/>
  <c r="AN3" i="2" s="1"/>
  <c r="D41" i="2" s="1"/>
  <c r="C41" i="2"/>
  <c r="AK3" i="2" a="1"/>
  <c r="AK3" i="2" s="1"/>
  <c r="D40" i="2" s="1"/>
  <c r="C40" i="2"/>
  <c r="AH3" i="2" a="1"/>
  <c r="AH3" i="2" s="1"/>
  <c r="C36" i="2"/>
  <c r="AE3" i="2"/>
  <c r="D24" i="2" s="1"/>
  <c r="C24" i="2"/>
  <c r="AB3" i="2" a="1"/>
  <c r="AB3" i="2" s="1"/>
  <c r="D42" i="2" s="1"/>
  <c r="C42" i="2"/>
  <c r="F200" i="1"/>
  <c r="F193" i="1" s="1"/>
  <c r="BH3" i="2" s="1"/>
  <c r="G200" i="1"/>
  <c r="G280" i="1"/>
  <c r="F280" i="1"/>
  <c r="F273" i="1" s="1"/>
  <c r="CF3" i="2" s="1"/>
  <c r="G230" i="1"/>
  <c r="F230" i="1"/>
  <c r="F223" i="1" s="1"/>
  <c r="BQ3" i="2" s="1"/>
  <c r="F20" i="1"/>
  <c r="G20" i="1"/>
  <c r="G11" i="2" s="1"/>
  <c r="G14" i="1"/>
  <c r="G5" i="2" s="1"/>
  <c r="F14" i="1"/>
  <c r="G15" i="1"/>
  <c r="G6" i="2" s="1"/>
  <c r="F15" i="1"/>
  <c r="F10" i="1"/>
  <c r="G10" i="1"/>
  <c r="D11" i="2" s="1"/>
  <c r="F5" i="1"/>
  <c r="G5" i="1"/>
  <c r="D6" i="2" s="1"/>
  <c r="G8" i="1"/>
  <c r="D9" i="2" s="1"/>
  <c r="F8" i="1"/>
  <c r="G46" i="1"/>
  <c r="P7" i="2" s="1"/>
  <c r="F46" i="1"/>
  <c r="F9" i="1"/>
  <c r="G9" i="1"/>
  <c r="D10" i="2" s="1"/>
  <c r="F6" i="1"/>
  <c r="G6" i="1"/>
  <c r="D7" i="2" s="1"/>
  <c r="F21" i="1"/>
  <c r="G21" i="1"/>
  <c r="G12" i="2" s="1"/>
  <c r="F11" i="1"/>
  <c r="G11" i="1"/>
  <c r="D12" i="2" s="1"/>
  <c r="D56" i="1"/>
  <c r="D37" i="1"/>
  <c r="D7" i="1"/>
  <c r="D36" i="1"/>
  <c r="D18" i="1"/>
  <c r="D31" i="1"/>
  <c r="D61" i="1"/>
  <c r="D48" i="1"/>
  <c r="D58" i="1"/>
  <c r="D28" i="1"/>
  <c r="D38" i="1"/>
  <c r="D17" i="1"/>
  <c r="D27" i="1"/>
  <c r="D59" i="1"/>
  <c r="D49" i="1"/>
  <c r="D39" i="1"/>
  <c r="D29" i="1"/>
  <c r="D19" i="1"/>
  <c r="D26" i="1"/>
  <c r="D16" i="1"/>
  <c r="D4" i="1"/>
  <c r="D51" i="1"/>
  <c r="D41" i="1"/>
  <c r="D55" i="1"/>
  <c r="D45" i="1"/>
  <c r="D35" i="1"/>
  <c r="D25" i="1"/>
  <c r="D60" i="1"/>
  <c r="D50" i="1"/>
  <c r="D40" i="1"/>
  <c r="D30" i="1"/>
  <c r="D57" i="1"/>
  <c r="D47" i="1"/>
  <c r="D54" i="1"/>
  <c r="D44" i="1"/>
  <c r="D34" i="1"/>
  <c r="D24" i="1"/>
  <c r="AW11" i="2" l="1"/>
  <c r="AW3" i="2" s="1" a="1"/>
  <c r="AW3" i="2" s="1"/>
  <c r="D19" i="2" s="1"/>
  <c r="G153" i="1"/>
  <c r="Y11" i="2"/>
  <c r="Y3" i="2" s="1" a="1"/>
  <c r="Y3" i="2" s="1"/>
  <c r="D22" i="2" s="1"/>
  <c r="G73" i="1"/>
  <c r="G193" i="1"/>
  <c r="BI11" i="2"/>
  <c r="BI3" i="2" s="1" a="1"/>
  <c r="BI3" i="2" s="1"/>
  <c r="G223" i="1"/>
  <c r="BR11" i="2"/>
  <c r="BR3" i="2" s="1" a="1"/>
  <c r="BR3" i="2" s="1"/>
  <c r="D20" i="2" s="1"/>
  <c r="G273" i="1"/>
  <c r="CG11" i="2"/>
  <c r="CG3" i="2" s="1" a="1"/>
  <c r="CG3" i="2" s="1"/>
  <c r="D21" i="2" s="1"/>
  <c r="C21" i="2"/>
  <c r="C20" i="2"/>
  <c r="C32" i="2"/>
  <c r="AT3" i="2" a="1"/>
  <c r="AT3" i="2" s="1"/>
  <c r="C18" i="2" a="1"/>
  <c r="C18" i="2" s="1"/>
  <c r="AQ3" i="2" a="1"/>
  <c r="AQ3" i="2" s="1"/>
  <c r="D34" i="2" s="1" a="1"/>
  <c r="D34" i="2" s="1"/>
  <c r="C34" i="2" a="1"/>
  <c r="C34" i="2" s="1"/>
  <c r="D36" i="2"/>
  <c r="F45" i="1"/>
  <c r="G45" i="1"/>
  <c r="P6" i="2" s="1"/>
  <c r="G34" i="1"/>
  <c r="M5" i="2" s="1"/>
  <c r="F34" i="1"/>
  <c r="G7" i="1"/>
  <c r="D8" i="2" s="1"/>
  <c r="F7" i="1"/>
  <c r="F51" i="1"/>
  <c r="G51" i="1"/>
  <c r="P12" i="2" s="1"/>
  <c r="F49" i="1"/>
  <c r="G49" i="1"/>
  <c r="G56" i="1"/>
  <c r="S7" i="2" s="1"/>
  <c r="F56" i="1"/>
  <c r="F28" i="1"/>
  <c r="G28" i="1"/>
  <c r="J9" i="2" s="1"/>
  <c r="F47" i="1"/>
  <c r="G47" i="1"/>
  <c r="P8" i="2" s="1"/>
  <c r="F58" i="1"/>
  <c r="G58" i="1"/>
  <c r="F57" i="1"/>
  <c r="G57" i="1"/>
  <c r="F16" i="1"/>
  <c r="G16" i="1"/>
  <c r="G7" i="2" s="1"/>
  <c r="F48" i="1"/>
  <c r="G48" i="1"/>
  <c r="P9" i="2" s="1"/>
  <c r="F25" i="1"/>
  <c r="G25" i="1"/>
  <c r="J6" i="2" s="1"/>
  <c r="F35" i="1"/>
  <c r="G35" i="1"/>
  <c r="M6" i="2" s="1"/>
  <c r="G27" i="1"/>
  <c r="J8" i="2" s="1"/>
  <c r="F27" i="1"/>
  <c r="G44" i="1"/>
  <c r="P5" i="2" s="1"/>
  <c r="F44" i="1"/>
  <c r="F4" i="1"/>
  <c r="G4" i="1"/>
  <c r="D5" i="2" s="1"/>
  <c r="F30" i="1"/>
  <c r="G30" i="1"/>
  <c r="F26" i="1"/>
  <c r="G26" i="1"/>
  <c r="J7" i="2" s="1"/>
  <c r="F61" i="1"/>
  <c r="G61" i="1"/>
  <c r="S12" i="2" s="1"/>
  <c r="F55" i="1"/>
  <c r="G55" i="1"/>
  <c r="S6" i="2" s="1"/>
  <c r="F31" i="1"/>
  <c r="G31" i="1"/>
  <c r="F37" i="1"/>
  <c r="G37" i="1"/>
  <c r="M8" i="2" s="1"/>
  <c r="F41" i="1"/>
  <c r="G41" i="1"/>
  <c r="M12" i="2" s="1"/>
  <c r="G19" i="1"/>
  <c r="G10" i="2" s="1"/>
  <c r="F19" i="1"/>
  <c r="F29" i="1"/>
  <c r="G29" i="1"/>
  <c r="J10" i="2" s="1"/>
  <c r="F18" i="1"/>
  <c r="G18" i="1"/>
  <c r="G9" i="2" s="1"/>
  <c r="F59" i="1"/>
  <c r="G59" i="1"/>
  <c r="G24" i="1"/>
  <c r="J5" i="2" s="1"/>
  <c r="F24" i="1"/>
  <c r="F17" i="1"/>
  <c r="G17" i="1"/>
  <c r="G8" i="2" s="1"/>
  <c r="G38" i="1"/>
  <c r="F38" i="1"/>
  <c r="F54" i="1"/>
  <c r="G54" i="1"/>
  <c r="S5" i="2" s="1"/>
  <c r="F40" i="1"/>
  <c r="G40" i="1"/>
  <c r="M11" i="2" s="1"/>
  <c r="G50" i="1"/>
  <c r="P11" i="2" s="1"/>
  <c r="F50" i="1"/>
  <c r="F60" i="1"/>
  <c r="G60" i="1"/>
  <c r="F39" i="1"/>
  <c r="G39" i="1"/>
  <c r="M10" i="2" s="1"/>
  <c r="G36" i="1"/>
  <c r="M7" i="2" s="1"/>
  <c r="F36" i="1"/>
  <c r="D32" i="2" l="1"/>
  <c r="D18" i="2" a="1"/>
  <c r="D18" i="2" s="1"/>
  <c r="F3" i="1"/>
  <c r="C3" i="2" s="1"/>
  <c r="S8" i="2"/>
  <c r="J12" i="2"/>
  <c r="S11" i="2"/>
  <c r="J11" i="2"/>
  <c r="M9" i="2"/>
  <c r="P10" i="2"/>
  <c r="S9" i="2"/>
  <c r="S10" i="2"/>
  <c r="F43" i="1"/>
  <c r="O3" i="2" s="1"/>
  <c r="C30" i="2" s="1"/>
  <c r="F53" i="1"/>
  <c r="R3" i="2" s="1"/>
  <c r="G43" i="1"/>
  <c r="F23" i="1"/>
  <c r="I3" i="2" s="1"/>
  <c r="C33" i="2" s="1"/>
  <c r="F13" i="1"/>
  <c r="F3" i="2" s="1"/>
  <c r="C43" i="2" s="1"/>
  <c r="G3" i="1"/>
  <c r="F33" i="1"/>
  <c r="L3" i="2" s="1"/>
  <c r="G53" i="1"/>
  <c r="G33" i="1"/>
  <c r="G23" i="1"/>
  <c r="G13" i="1"/>
  <c r="C28" i="2" l="1"/>
  <c r="D3" i="2"/>
  <c r="D28" i="2" s="1"/>
  <c r="C31" i="2"/>
  <c r="S3" i="2"/>
  <c r="J3" i="2"/>
  <c r="D33" i="2" s="1"/>
  <c r="G3" i="2"/>
  <c r="M3" i="2"/>
  <c r="D35" i="2" s="1"/>
  <c r="P3" i="2"/>
  <c r="D30" i="2" s="1"/>
  <c r="C35" i="2"/>
  <c r="D31" i="2" l="1"/>
  <c r="D43" i="2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<sst xmlns="http://schemas.openxmlformats.org/spreadsheetml/2006/main" count="706" uniqueCount="106">
  <si>
    <t>BOS</t>
  </si>
  <si>
    <t>TBL</t>
  </si>
  <si>
    <t>CAR</t>
  </si>
  <si>
    <t>VGK</t>
  </si>
  <si>
    <t>EDM</t>
  </si>
  <si>
    <t>COL</t>
  </si>
  <si>
    <t>MIN</t>
  </si>
  <si>
    <t>DAL</t>
  </si>
  <si>
    <t>LA</t>
  </si>
  <si>
    <t>Gagné</t>
  </si>
  <si>
    <t>Prévu</t>
  </si>
  <si>
    <t>Points</t>
  </si>
  <si>
    <t>Parties</t>
  </si>
  <si>
    <t>Possible</t>
  </si>
  <si>
    <t>Série
gagné</t>
  </si>
  <si>
    <t>Joué</t>
  </si>
  <si>
    <t>Pointage :</t>
  </si>
  <si>
    <t>Équipe</t>
  </si>
  <si>
    <t>Parties gagné</t>
  </si>
  <si>
    <t>=</t>
  </si>
  <si>
    <t>Série en cours</t>
  </si>
  <si>
    <t>Total série</t>
  </si>
  <si>
    <t>Résultat équipe</t>
  </si>
  <si>
    <t>Perdu</t>
  </si>
  <si>
    <t xml:space="preserve">Ronde : </t>
  </si>
  <si>
    <t>Ronde</t>
  </si>
  <si>
    <t>Acquis</t>
  </si>
  <si>
    <t xml:space="preserve">Facteur: </t>
  </si>
  <si>
    <t>Joueur</t>
  </si>
  <si>
    <t>LAK</t>
  </si>
  <si>
    <t>OTT</t>
  </si>
  <si>
    <t>MTL</t>
  </si>
  <si>
    <t xml:space="preserve">Nombre de poolers : </t>
  </si>
  <si>
    <t>UTA</t>
  </si>
  <si>
    <t>ANA</t>
  </si>
  <si>
    <t>BUF</t>
  </si>
  <si>
    <t>PIT</t>
  </si>
  <si>
    <t>PHI</t>
  </si>
  <si>
    <t>Pointage</t>
  </si>
  <si>
    <t>Série:</t>
  </si>
  <si>
    <t>Points:</t>
  </si>
  <si>
    <t>Jean-Sébastien Angers– Parties</t>
  </si>
  <si>
    <t>Marc Poirier– Parties</t>
  </si>
  <si>
    <t>Marc Morin– Parties</t>
  </si>
  <si>
    <t>Yves Tremblay– Parties</t>
  </si>
  <si>
    <t>Simon Manouk– Parties</t>
  </si>
  <si>
    <t>Gia Hoi Nguyen– Parties</t>
  </si>
  <si>
    <t>Cathy Demers– Parties</t>
  </si>
  <si>
    <t>Michel Gagné– Parties</t>
  </si>
  <si>
    <t>Vicky Rodrigue– Parties</t>
  </si>
  <si>
    <t>Charles Doré– Parties</t>
  </si>
  <si>
    <t>François Briand– Parties</t>
  </si>
  <si>
    <t>Frédéric Lallemand– Parties</t>
  </si>
  <si>
    <t>Mathieu Pagé– Parties</t>
  </si>
  <si>
    <t>Jonathan Blanchette– Parties</t>
  </si>
  <si>
    <t>Stéphane Drapeau– Parties</t>
  </si>
  <si>
    <t>Caroline Carrier– Parties</t>
  </si>
  <si>
    <t>Sébastien Boudreau– Parties</t>
  </si>
  <si>
    <t>Jean-François Couture– Parties</t>
  </si>
  <si>
    <t>Benoit Paquet– Parties</t>
  </si>
  <si>
    <t>Hugues Robert– Parties</t>
  </si>
  <si>
    <t>François Briand</t>
  </si>
  <si>
    <t>Frédéric Lallemand</t>
  </si>
  <si>
    <t>Mathieu Pagé</t>
  </si>
  <si>
    <t>Jonathan Blanchette</t>
  </si>
  <si>
    <t>Stéphane Drapeau</t>
  </si>
  <si>
    <t>Caroline Carrier</t>
  </si>
  <si>
    <t>Sébastien Boudreau</t>
  </si>
  <si>
    <t>Jean-François Couture</t>
  </si>
  <si>
    <t>Benoit Paquet</t>
  </si>
  <si>
    <t>Hugues Robert</t>
  </si>
  <si>
    <t>Jean-Sébastien Angers</t>
  </si>
  <si>
    <t>Marc Poirier</t>
  </si>
  <si>
    <t>Marc Morin</t>
  </si>
  <si>
    <t>Yves Tremblay</t>
  </si>
  <si>
    <t>Simon Manouk</t>
  </si>
  <si>
    <t>Gia Hoi Nguyen</t>
  </si>
  <si>
    <t>Cathy Demers</t>
  </si>
  <si>
    <t>Michel Gagné</t>
  </si>
  <si>
    <t>Vicky Rodrigue</t>
  </si>
  <si>
    <t>Charles Doré</t>
  </si>
  <si>
    <t>Catherine Delorme– Parties</t>
  </si>
  <si>
    <t>Cyril Sylvain– Parties</t>
  </si>
  <si>
    <t>Annie La Bonté– Parties</t>
  </si>
  <si>
    <t>Annick Demers– Parties</t>
  </si>
  <si>
    <t>Daniel Pellerin– Parties</t>
  </si>
  <si>
    <t>Geneviève Leclerc– Parties</t>
  </si>
  <si>
    <t>Isabelle Landry– Parties</t>
  </si>
  <si>
    <t>Prévision</t>
  </si>
  <si>
    <t>x</t>
  </si>
  <si>
    <t>Catherine Delorme</t>
  </si>
  <si>
    <t>Cyril Sylvain</t>
  </si>
  <si>
    <t>Annie La Bonté</t>
  </si>
  <si>
    <t>Annick Demers</t>
  </si>
  <si>
    <t>Alexandre Turcotte</t>
  </si>
  <si>
    <t>Daniel Pellerin</t>
  </si>
  <si>
    <t>Geneviève Leclerc</t>
  </si>
  <si>
    <t>Isabelle Landry</t>
  </si>
  <si>
    <t>Série perdue</t>
  </si>
  <si>
    <t>Ronde 1</t>
  </si>
  <si>
    <t>Ronde 2</t>
  </si>
  <si>
    <t>Ronde 3</t>
  </si>
  <si>
    <t>Finale</t>
  </si>
  <si>
    <t xml:space="preserve">Nombre de parties perdu </t>
  </si>
  <si>
    <t>Série gagnée avec le nombre de parties</t>
  </si>
  <si>
    <t>Série gagnée sans le nombre de parties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</si>
</sst>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sz val="11"/>
      <color rgb="FF000000"/>
      <name val="Aptos Narrow"/>
      <family val="2"/>
    </font>
    <font>
      <sz val="11"/>
      <color rgb="FF00000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2" tint="-0.249977111117893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BC575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Alignment="1">
      <alignment vertic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/>
    </xf>
    <xf numFmtId="0" fontId="0" fillId="0" borderId="4" xfId="0" applyBorder="1"/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3" borderId="1" xfId="0" applyFill="1" applyBorder="1" applyAlignment="1">
      <alignment vertical="center"/>
    </xf>
    <xf numFmtId="0" fontId="0" fillId="0" borderId="1" xfId="0" applyBorder="1"/>
    <xf numFmtId="0" fontId="0" fillId="0" borderId="5" xfId="0" applyBorder="1"/>
    <xf numFmtId="0" fontId="0" fillId="0" borderId="2" xfId="0" applyBorder="1"/>
    <xf numFmtId="0" fontId="0" fillId="0" borderId="6" xfId="0" applyBorder="1"/>
    <xf numFmtId="0" fontId="0" fillId="0" borderId="7" xfId="0" applyBorder="1"/>
    <xf numFmtId="0" fontId="0" fillId="0" borderId="3" xfId="0" applyBorder="1"/>
    <xf numFmtId="0" fontId="0" fillId="0" borderId="8" xfId="0" applyBorder="1"/>
    <xf numFmtId="0" fontId="0" fillId="0" borderId="0" xfId="0" applyAlignment="1">
      <alignment horizontal="right" indent="1"/>
    </xf>
    <xf numFmtId="0" fontId="0" fillId="3" borderId="1" xfId="0" applyFill="1" applyBorder="1" applyAlignment="1">
      <alignment horizontal="center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 applyProtection="1">
      <alignment horizontal="center"/>
      <protection locked="0"/>
    </xf>
    <xf numFmtId="0" fontId="0" fillId="0" borderId="9" xfId="0" applyBorder="1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right" vertical="center"/>
    </xf>
    <xf numFmtId="0" fontId="4" fillId="0" borderId="0" xfId="0" applyFont="1"/>
    <xf numFmtId="0" fontId="7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0" fillId="3" borderId="10" xfId="0" applyFill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7" fillId="0" borderId="0" xfId="0" applyFont="1" applyAlignment="1">
      <alignment horizontal="left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8" fillId="0" borderId="1" xfId="0" applyFont="1" applyBorder="1"/>
    <xf numFmtId="0" fontId="8" fillId="0" borderId="1" xfId="0" applyFont="1" applyBorder="1" applyAlignment="1">
      <alignment horizontal="center"/>
    </xf>
    <xf numFmtId="0" fontId="3" fillId="0" borderId="0" xfId="0" applyFont="1"/>
    <xf numFmtId="0" fontId="0" fillId="7" borderId="1" xfId="0" applyFill="1" applyBorder="1" applyAlignment="1">
      <alignment horizontal="center"/>
    </xf>
    <xf numFmtId="0" fontId="0" fillId="0" borderId="0" xfId="0" applyAlignment="1">
      <alignment horizontal="right"/>
    </xf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3" fillId="0" borderId="13" xfId="0" applyFont="1" applyBorder="1"/>
    <xf numFmtId="0" fontId="0" fillId="0" borderId="0" xfId="0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center"/>
    </xf>
    <xf numFmtId="0" fontId="0" fillId="0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BC575"/>
      <color rgb="FFF6BCB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Structure" Target="richData/rdrichvaluestructure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22/10/relationships/richValueRel" Target="richData/richValueRel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0</xdr:row>
          <xdr:rowOff>19050</xdr:rowOff>
        </xdr:from>
        <xdr:to>
          <xdr:col>3</xdr:col>
          <xdr:colOff>142875</xdr:colOff>
          <xdr:row>0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571500</xdr:colOff>
          <xdr:row>0</xdr:row>
          <xdr:rowOff>28575</xdr:rowOff>
        </xdr:from>
        <xdr:to>
          <xdr:col>14</xdr:col>
          <xdr:colOff>342900</xdr:colOff>
          <xdr:row>0</xdr:row>
          <xdr:rowOff>295275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Copier Sommaire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590550</xdr:colOff>
          <xdr:row>0</xdr:row>
          <xdr:rowOff>28575</xdr:rowOff>
        </xdr:from>
        <xdr:to>
          <xdr:col>16</xdr:col>
          <xdr:colOff>523875</xdr:colOff>
          <xdr:row>0</xdr:row>
          <xdr:rowOff>295275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Copier Grille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1009650</xdr:colOff>
          <xdr:row>0</xdr:row>
          <xdr:rowOff>28575</xdr:rowOff>
        </xdr:from>
        <xdr:to>
          <xdr:col>12</xdr:col>
          <xdr:colOff>466725</xdr:colOff>
          <xdr:row>0</xdr:row>
          <xdr:rowOff>295275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Copier Choix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0</xdr:row>
          <xdr:rowOff>19050</xdr:rowOff>
        </xdr:from>
        <xdr:to>
          <xdr:col>6</xdr:col>
          <xdr:colOff>447675</xdr:colOff>
          <xdr:row>0</xdr:row>
          <xdr:rowOff>285750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Copier Choix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0</xdr:row>
          <xdr:rowOff>19050</xdr:rowOff>
        </xdr:from>
        <xdr:to>
          <xdr:col>7</xdr:col>
          <xdr:colOff>971550</xdr:colOff>
          <xdr:row>0</xdr:row>
          <xdr:rowOff>285750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Copier Choix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180975</xdr:colOff>
          <xdr:row>0</xdr:row>
          <xdr:rowOff>28575</xdr:rowOff>
        </xdr:from>
        <xdr:to>
          <xdr:col>27</xdr:col>
          <xdr:colOff>561975</xdr:colOff>
          <xdr:row>0</xdr:row>
          <xdr:rowOff>295275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Copier Choix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638175</xdr:colOff>
          <xdr:row>0</xdr:row>
          <xdr:rowOff>28575</xdr:rowOff>
        </xdr:from>
        <xdr:to>
          <xdr:col>48</xdr:col>
          <xdr:colOff>38100</xdr:colOff>
          <xdr:row>0</xdr:row>
          <xdr:rowOff>295275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Copier Choix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</xdr:col>
          <xdr:colOff>19050</xdr:colOff>
          <xdr:row>0</xdr:row>
          <xdr:rowOff>28575</xdr:rowOff>
        </xdr:from>
        <xdr:to>
          <xdr:col>70</xdr:col>
          <xdr:colOff>933450</xdr:colOff>
          <xdr:row>0</xdr:row>
          <xdr:rowOff>295275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Copier Sommaire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19</xdr:row>
          <xdr:rowOff>28575</xdr:rowOff>
        </xdr:from>
        <xdr:to>
          <xdr:col>7</xdr:col>
          <xdr:colOff>523875</xdr:colOff>
          <xdr:row>20</xdr:row>
          <xdr:rowOff>114300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2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Copier Grille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114300</xdr:colOff>
          <xdr:row>2</xdr:row>
          <xdr:rowOff>66675</xdr:rowOff>
        </xdr:from>
        <xdr:to>
          <xdr:col>15</xdr:col>
          <xdr:colOff>257175</xdr:colOff>
          <xdr:row>3</xdr:row>
          <xdr:rowOff>142875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Copier Image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76200</xdr:colOff>
      <xdr:row>13</xdr:row>
      <xdr:rowOff>28576</xdr:rowOff>
    </xdr:from>
    <xdr:to>
      <xdr:col>14</xdr:col>
      <xdr:colOff>257175</xdr:colOff>
      <xdr:row>19</xdr:row>
      <xdr:rowOff>1362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EEEBC095-5572-4A82-88C8-18865E02E3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6200" y="2505076"/>
          <a:ext cx="523875" cy="1115786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85289-2FC2-4C9A-AB76-77F3D15C2608}">
  <sheetPr codeName="Feuil1"/>
  <dimension ref="A1:AA29"/>
  <sheetViews>
    <sheetView tabSelected="1" zoomScaleNormal="100" workbookViewId="0">
      <selection activeCell="G17" sqref="G17"/>
    </sheetView>
  </sheetViews>
  <sheetFormatPr baseColWidth="10" defaultRowHeight="15" outlineLevelCol="1" x14ac:dyDescent="0.25"/>
  <cols>
    <col min="5" max="6" width="7" customWidth="1"/>
    <col min="7" max="7" width="7" style="7" customWidth="1"/>
    <col min="8" max="10" width="7" customWidth="1" outlineLevel="1"/>
    <col min="11" max="11" width="8.42578125" style="7" customWidth="1" outlineLevel="1"/>
    <col min="12" max="12" width="4.42578125" customWidth="1"/>
    <col min="13" max="19" width="7" customWidth="1"/>
    <col min="20" max="20" width="7.7109375" customWidth="1"/>
    <col min="21" max="21" width="36" customWidth="1"/>
    <col min="22" max="22" width="7.7109375" customWidth="1"/>
    <col min="23" max="23" width="35.42578125" customWidth="1"/>
    <col min="24" max="24" width="7.7109375" customWidth="1"/>
    <col min="25" max="25" width="23.140625" customWidth="1"/>
    <col min="26" max="26" width="7.7109375" customWidth="1"/>
    <col min="27" max="27" width="13" customWidth="1"/>
  </cols>
  <sheetData>
    <row r="1" spans="1:27" ht="17.25" customHeight="1" x14ac:dyDescent="0.25">
      <c r="A1" s="41" t="s">
        <v>32</v>
      </c>
      <c r="B1" s="41"/>
      <c r="C1" s="24">
        <v>28</v>
      </c>
      <c r="D1" s="18" t="s">
        <v>24</v>
      </c>
      <c r="E1" s="21">
        <v>1</v>
      </c>
    </row>
    <row r="2" spans="1:27" ht="33" customHeight="1" x14ac:dyDescent="0.25">
      <c r="B2" t="s">
        <v>38</v>
      </c>
      <c r="D2" s="19" t="s">
        <v>27</v>
      </c>
      <c r="E2" s="23">
        <f>(2^ronde)/2</f>
        <v>1</v>
      </c>
      <c r="F2" s="8" t="s">
        <v>17</v>
      </c>
      <c r="G2" s="17" t="s">
        <v>18</v>
      </c>
      <c r="H2" s="8" t="s">
        <v>17</v>
      </c>
      <c r="I2" s="17" t="s">
        <v>18</v>
      </c>
      <c r="J2" s="17" t="s">
        <v>21</v>
      </c>
      <c r="K2" s="17" t="s">
        <v>22</v>
      </c>
    </row>
    <row r="3" spans="1:27" ht="15" customHeight="1" x14ac:dyDescent="0.25">
      <c r="A3" s="1"/>
      <c r="B3" s="18" t="s">
        <v>39</v>
      </c>
      <c r="C3" s="1">
        <v>2</v>
      </c>
      <c r="F3" s="25" t="s">
        <v>34</v>
      </c>
      <c r="G3" s="21">
        <v>4</v>
      </c>
      <c r="H3" s="25" t="s">
        <v>4</v>
      </c>
      <c r="I3">
        <f t="shared" ref="I3:I18" si="0">VLOOKUP(H3,result,2)</f>
        <v>2</v>
      </c>
      <c r="J3">
        <f>G3+I3</f>
        <v>6</v>
      </c>
      <c r="K3" s="6">
        <v>1</v>
      </c>
      <c r="L3" t="str">
        <f t="shared" ref="L3:L18" si="1">IF(K3 = 0,Scour,    IF(K3 = 1, Sgagn,  IF(K3 = -1,Sperd,0)  )  )</f>
        <v>Gagné</v>
      </c>
      <c r="T3" s="36"/>
      <c r="U3" t="s">
        <v>104</v>
      </c>
      <c r="V3" s="34"/>
      <c r="W3" t="s">
        <v>105</v>
      </c>
      <c r="X3" s="40"/>
      <c r="Y3" t="s">
        <v>103</v>
      </c>
      <c r="Z3" s="35"/>
      <c r="AA3" t="s">
        <v>98</v>
      </c>
    </row>
    <row r="4" spans="1:27" ht="15" customHeight="1" x14ac:dyDescent="0.25">
      <c r="A4" s="1"/>
      <c r="B4" s="18" t="s">
        <v>40</v>
      </c>
      <c r="C4" s="1">
        <v>1</v>
      </c>
      <c r="F4" s="25" t="s">
        <v>0</v>
      </c>
      <c r="G4" s="21">
        <v>2</v>
      </c>
      <c r="H4" s="25" t="s">
        <v>35</v>
      </c>
      <c r="I4">
        <f t="shared" si="0"/>
        <v>4</v>
      </c>
      <c r="J4">
        <f t="shared" ref="J4:J18" si="2">G4+I4</f>
        <v>6</v>
      </c>
      <c r="K4" s="6">
        <v>-1</v>
      </c>
      <c r="L4" t="str">
        <f t="shared" si="1"/>
        <v>Perdu</v>
      </c>
    </row>
    <row r="5" spans="1:27" ht="15" customHeight="1" x14ac:dyDescent="0.25">
      <c r="A5" s="1"/>
      <c r="C5" s="1"/>
      <c r="F5" s="25" t="s">
        <v>35</v>
      </c>
      <c r="G5" s="21">
        <v>4</v>
      </c>
      <c r="H5" s="25" t="s">
        <v>0</v>
      </c>
      <c r="I5">
        <f t="shared" si="0"/>
        <v>2</v>
      </c>
      <c r="J5">
        <f t="shared" si="2"/>
        <v>6</v>
      </c>
      <c r="K5" s="6">
        <v>1</v>
      </c>
      <c r="L5" t="str">
        <f t="shared" si="1"/>
        <v>Gagné</v>
      </c>
    </row>
    <row r="6" spans="1:27" ht="15" customHeight="1" x14ac:dyDescent="0.25">
      <c r="A6" s="1"/>
      <c r="C6" s="1"/>
      <c r="F6" s="25" t="s">
        <v>2</v>
      </c>
      <c r="G6" s="21">
        <v>4</v>
      </c>
      <c r="H6" s="25" t="s">
        <v>30</v>
      </c>
      <c r="I6">
        <f t="shared" si="0"/>
        <v>0</v>
      </c>
      <c r="J6">
        <f t="shared" si="2"/>
        <v>4</v>
      </c>
      <c r="K6" s="6">
        <v>1</v>
      </c>
      <c r="L6" t="str">
        <f t="shared" si="1"/>
        <v>Gagné</v>
      </c>
    </row>
    <row r="7" spans="1:27" ht="15" customHeight="1" x14ac:dyDescent="0.25">
      <c r="A7" s="1"/>
      <c r="C7" s="1"/>
      <c r="F7" s="25" t="s">
        <v>5</v>
      </c>
      <c r="G7" s="21">
        <v>4</v>
      </c>
      <c r="H7" s="25" t="s">
        <v>29</v>
      </c>
      <c r="I7">
        <f t="shared" si="0"/>
        <v>0</v>
      </c>
      <c r="J7">
        <f t="shared" si="2"/>
        <v>4</v>
      </c>
      <c r="K7" s="6">
        <v>1</v>
      </c>
      <c r="L7" t="str">
        <f t="shared" si="1"/>
        <v>Gagné</v>
      </c>
    </row>
    <row r="8" spans="1:27" ht="15" customHeight="1" x14ac:dyDescent="0.25">
      <c r="A8" s="1"/>
      <c r="C8" s="1"/>
      <c r="F8" s="25" t="s">
        <v>7</v>
      </c>
      <c r="G8" s="21">
        <v>2</v>
      </c>
      <c r="H8" s="25" t="s">
        <v>6</v>
      </c>
      <c r="I8">
        <f t="shared" si="0"/>
        <v>4</v>
      </c>
      <c r="J8">
        <f t="shared" si="2"/>
        <v>6</v>
      </c>
      <c r="K8" s="6">
        <v>-1</v>
      </c>
      <c r="L8" t="str">
        <f t="shared" si="1"/>
        <v>Perdu</v>
      </c>
    </row>
    <row r="9" spans="1:27" ht="15" customHeight="1" x14ac:dyDescent="0.25">
      <c r="A9" s="1"/>
      <c r="C9" s="1"/>
      <c r="F9" s="25" t="s">
        <v>4</v>
      </c>
      <c r="G9" s="21">
        <v>2</v>
      </c>
      <c r="H9" s="25" t="s">
        <v>34</v>
      </c>
      <c r="I9">
        <f t="shared" si="0"/>
        <v>4</v>
      </c>
      <c r="J9">
        <f t="shared" si="2"/>
        <v>6</v>
      </c>
      <c r="K9" s="6">
        <v>-1</v>
      </c>
      <c r="L9" t="str">
        <f t="shared" si="1"/>
        <v>Perdu</v>
      </c>
    </row>
    <row r="10" spans="1:27" ht="15" customHeight="1" x14ac:dyDescent="0.25">
      <c r="A10" s="1"/>
      <c r="C10" s="1"/>
      <c r="F10" s="25" t="s">
        <v>29</v>
      </c>
      <c r="G10" s="21">
        <v>0</v>
      </c>
      <c r="H10" s="25" t="s">
        <v>5</v>
      </c>
      <c r="I10">
        <f t="shared" si="0"/>
        <v>4</v>
      </c>
      <c r="J10">
        <f t="shared" si="2"/>
        <v>4</v>
      </c>
      <c r="K10" s="6">
        <v>-1</v>
      </c>
      <c r="L10" t="str">
        <f t="shared" si="1"/>
        <v>Perdu</v>
      </c>
    </row>
    <row r="11" spans="1:27" ht="15" customHeight="1" x14ac:dyDescent="0.25">
      <c r="A11" s="1"/>
      <c r="C11" s="1"/>
      <c r="F11" s="25" t="s">
        <v>6</v>
      </c>
      <c r="G11" s="21">
        <v>4</v>
      </c>
      <c r="H11" s="25" t="s">
        <v>7</v>
      </c>
      <c r="I11">
        <f t="shared" si="0"/>
        <v>2</v>
      </c>
      <c r="J11">
        <f t="shared" si="2"/>
        <v>6</v>
      </c>
      <c r="K11" s="6">
        <v>1</v>
      </c>
      <c r="L11" t="str">
        <f t="shared" si="1"/>
        <v>Gagné</v>
      </c>
    </row>
    <row r="12" spans="1:27" ht="15" customHeight="1" x14ac:dyDescent="0.25">
      <c r="A12" s="1"/>
      <c r="C12" s="1"/>
      <c r="F12" s="25" t="s">
        <v>31</v>
      </c>
      <c r="G12" s="21">
        <v>3</v>
      </c>
      <c r="H12" s="25" t="s">
        <v>1</v>
      </c>
      <c r="I12">
        <f t="shared" si="0"/>
        <v>3</v>
      </c>
      <c r="J12">
        <f t="shared" si="2"/>
        <v>6</v>
      </c>
      <c r="K12" s="6">
        <v>0</v>
      </c>
      <c r="L12" t="str">
        <f t="shared" si="1"/>
        <v>Série en cours</v>
      </c>
      <c r="P12" s="25"/>
      <c r="Q12" s="26"/>
      <c r="R12" s="25"/>
      <c r="S12" s="25"/>
      <c r="T12" s="26"/>
      <c r="U12" s="25"/>
      <c r="V12" s="26"/>
    </row>
    <row r="13" spans="1:27" ht="15" customHeight="1" x14ac:dyDescent="0.25">
      <c r="A13" s="1"/>
      <c r="C13" s="1"/>
      <c r="F13" s="25" t="s">
        <v>30</v>
      </c>
      <c r="G13" s="21">
        <v>0</v>
      </c>
      <c r="H13" s="25" t="s">
        <v>2</v>
      </c>
      <c r="I13">
        <f t="shared" si="0"/>
        <v>4</v>
      </c>
      <c r="J13">
        <f t="shared" si="2"/>
        <v>4</v>
      </c>
      <c r="K13" s="6">
        <v>-1</v>
      </c>
      <c r="L13" t="str">
        <f t="shared" si="1"/>
        <v>Perdu</v>
      </c>
      <c r="P13" s="25"/>
      <c r="Q13" s="26"/>
      <c r="R13" s="25"/>
      <c r="S13" s="25"/>
      <c r="T13" s="26"/>
      <c r="U13" s="27"/>
      <c r="V13" s="27"/>
    </row>
    <row r="14" spans="1:27" ht="15" customHeight="1" x14ac:dyDescent="0.25">
      <c r="A14" s="1"/>
      <c r="C14" s="1"/>
      <c r="F14" s="25" t="s">
        <v>37</v>
      </c>
      <c r="G14" s="21">
        <v>4</v>
      </c>
      <c r="H14" s="25" t="s">
        <v>36</v>
      </c>
      <c r="I14">
        <f t="shared" si="0"/>
        <v>2</v>
      </c>
      <c r="J14">
        <f t="shared" si="2"/>
        <v>6</v>
      </c>
      <c r="K14" s="6">
        <v>1</v>
      </c>
      <c r="L14" t="str">
        <f t="shared" si="1"/>
        <v>Gagné</v>
      </c>
      <c r="P14" s="25"/>
      <c r="Q14" s="26"/>
      <c r="R14" s="25"/>
      <c r="S14" s="25"/>
      <c r="T14" s="26"/>
      <c r="U14" s="25"/>
      <c r="V14" s="26"/>
    </row>
    <row r="15" spans="1:27" ht="15" customHeight="1" x14ac:dyDescent="0.25">
      <c r="A15" s="1"/>
      <c r="C15" s="1"/>
      <c r="F15" s="25" t="s">
        <v>36</v>
      </c>
      <c r="G15" s="21">
        <v>2</v>
      </c>
      <c r="H15" s="25" t="s">
        <v>37</v>
      </c>
      <c r="I15">
        <f t="shared" si="0"/>
        <v>4</v>
      </c>
      <c r="J15">
        <f t="shared" si="2"/>
        <v>6</v>
      </c>
      <c r="K15" s="6">
        <v>-1</v>
      </c>
      <c r="L15" t="str">
        <f t="shared" si="1"/>
        <v>Perdu</v>
      </c>
      <c r="P15" s="25"/>
      <c r="Q15" s="26"/>
      <c r="R15" s="25"/>
      <c r="S15" s="25"/>
      <c r="T15" s="26"/>
      <c r="U15" s="27"/>
      <c r="V15" s="27"/>
    </row>
    <row r="16" spans="1:27" ht="15" customHeight="1" x14ac:dyDescent="0.25">
      <c r="A16" s="1"/>
      <c r="C16" s="1"/>
      <c r="F16" s="25" t="s">
        <v>1</v>
      </c>
      <c r="G16" s="21">
        <v>3</v>
      </c>
      <c r="H16" s="25" t="s">
        <v>31</v>
      </c>
      <c r="I16">
        <f t="shared" si="0"/>
        <v>3</v>
      </c>
      <c r="J16">
        <f t="shared" si="2"/>
        <v>6</v>
      </c>
      <c r="K16" s="6">
        <v>0</v>
      </c>
      <c r="L16" t="str">
        <f t="shared" si="1"/>
        <v>Série en cours</v>
      </c>
      <c r="P16" s="25"/>
      <c r="Q16" s="26"/>
      <c r="R16" s="25"/>
      <c r="S16" s="25"/>
      <c r="T16" s="26"/>
      <c r="U16" s="25"/>
      <c r="V16" s="26"/>
    </row>
    <row r="17" spans="1:22" ht="15" customHeight="1" x14ac:dyDescent="0.25">
      <c r="A17" s="1"/>
      <c r="C17" s="1"/>
      <c r="F17" s="25" t="s">
        <v>33</v>
      </c>
      <c r="G17" s="21">
        <v>2</v>
      </c>
      <c r="H17" s="25" t="s">
        <v>3</v>
      </c>
      <c r="I17">
        <f t="shared" si="0"/>
        <v>4</v>
      </c>
      <c r="J17">
        <f t="shared" si="2"/>
        <v>6</v>
      </c>
      <c r="K17" s="6">
        <v>-1</v>
      </c>
      <c r="L17" t="str">
        <f t="shared" si="1"/>
        <v>Perdu</v>
      </c>
      <c r="P17" s="25"/>
      <c r="Q17" s="26"/>
      <c r="R17" s="25"/>
      <c r="S17" s="25"/>
      <c r="T17" s="26"/>
      <c r="U17" s="27"/>
      <c r="V17" s="27"/>
    </row>
    <row r="18" spans="1:22" x14ac:dyDescent="0.25">
      <c r="A18" s="1"/>
      <c r="C18" s="1"/>
      <c r="F18" s="25" t="s">
        <v>3</v>
      </c>
      <c r="G18" s="21">
        <v>4</v>
      </c>
      <c r="H18" s="25" t="s">
        <v>33</v>
      </c>
      <c r="I18">
        <f t="shared" si="0"/>
        <v>2</v>
      </c>
      <c r="J18">
        <f t="shared" si="2"/>
        <v>6</v>
      </c>
      <c r="K18" s="6">
        <v>1</v>
      </c>
      <c r="L18" t="str">
        <f t="shared" si="1"/>
        <v>Gagné</v>
      </c>
      <c r="P18" s="25"/>
      <c r="Q18" s="26"/>
      <c r="R18" s="25"/>
      <c r="S18" s="25"/>
      <c r="T18" s="26"/>
      <c r="U18" s="25"/>
      <c r="V18" s="26"/>
    </row>
    <row r="19" spans="1:22" x14ac:dyDescent="0.25">
      <c r="P19" s="25"/>
      <c r="Q19" s="26"/>
      <c r="R19" s="25"/>
      <c r="S19" s="25"/>
      <c r="T19" s="26"/>
      <c r="U19" s="27"/>
      <c r="V19" s="27"/>
    </row>
    <row r="20" spans="1:22" x14ac:dyDescent="0.25">
      <c r="K20" s="6">
        <v>0</v>
      </c>
      <c r="L20" s="7" t="s">
        <v>19</v>
      </c>
      <c r="M20" t="s">
        <v>20</v>
      </c>
      <c r="P20" s="25"/>
      <c r="Q20" s="26"/>
      <c r="R20" s="25"/>
      <c r="S20" s="27"/>
      <c r="T20" s="27"/>
      <c r="U20" s="27"/>
      <c r="V20" s="27"/>
    </row>
    <row r="21" spans="1:22" x14ac:dyDescent="0.25">
      <c r="K21" s="6">
        <v>1</v>
      </c>
      <c r="L21" s="7" t="s">
        <v>19</v>
      </c>
      <c r="M21" t="s">
        <v>9</v>
      </c>
      <c r="P21" s="25"/>
      <c r="Q21" s="26"/>
      <c r="R21" s="25"/>
      <c r="S21" s="27"/>
      <c r="T21" s="27"/>
      <c r="U21" s="27"/>
      <c r="V21" s="27"/>
    </row>
    <row r="22" spans="1:22" x14ac:dyDescent="0.25">
      <c r="K22" s="6">
        <v>-1</v>
      </c>
      <c r="L22" s="7" t="s">
        <v>19</v>
      </c>
      <c r="M22" t="s">
        <v>23</v>
      </c>
      <c r="P22" s="25"/>
      <c r="Q22" s="26"/>
      <c r="R22" s="25"/>
      <c r="S22" s="25"/>
      <c r="T22" s="26"/>
      <c r="U22" s="25"/>
      <c r="V22" s="26"/>
    </row>
    <row r="23" spans="1:22" x14ac:dyDescent="0.25">
      <c r="K23"/>
      <c r="P23" s="25"/>
      <c r="Q23" s="26"/>
      <c r="R23" s="25"/>
      <c r="S23" s="25"/>
      <c r="T23" s="26"/>
      <c r="U23" s="27"/>
      <c r="V23" s="27"/>
    </row>
    <row r="24" spans="1:22" x14ac:dyDescent="0.25">
      <c r="P24" s="25"/>
      <c r="Q24" s="26"/>
      <c r="R24" s="25"/>
      <c r="S24" s="25"/>
      <c r="T24" s="26"/>
      <c r="U24" s="25"/>
      <c r="V24" s="26"/>
    </row>
    <row r="25" spans="1:22" x14ac:dyDescent="0.25">
      <c r="P25" s="25"/>
      <c r="Q25" s="26"/>
      <c r="R25" s="25"/>
      <c r="S25" s="25"/>
      <c r="T25" s="26"/>
      <c r="U25" s="27"/>
      <c r="V25" s="27"/>
    </row>
    <row r="26" spans="1:22" x14ac:dyDescent="0.25">
      <c r="P26" s="25"/>
      <c r="Q26" s="26"/>
      <c r="R26" s="25"/>
      <c r="S26" s="25"/>
      <c r="T26" s="26"/>
      <c r="U26" s="25"/>
      <c r="V26" s="26"/>
    </row>
    <row r="27" spans="1:22" x14ac:dyDescent="0.25">
      <c r="P27" s="25"/>
      <c r="Q27" s="26"/>
      <c r="R27" s="25"/>
      <c r="S27" s="25"/>
      <c r="T27" s="26"/>
      <c r="U27" s="27"/>
      <c r="V27" s="27"/>
    </row>
    <row r="28" spans="1:22" x14ac:dyDescent="0.25">
      <c r="S28" s="25"/>
      <c r="T28" s="26"/>
      <c r="U28" s="25"/>
      <c r="V28" s="26"/>
    </row>
    <row r="29" spans="1:22" x14ac:dyDescent="0.25">
      <c r="S29" s="25"/>
      <c r="T29" s="26"/>
      <c r="U29" s="27"/>
      <c r="V29" s="27"/>
    </row>
  </sheetData>
  <sheetProtection sheet="1" objects="1" scenarios="1" selectLockedCells="1"/>
  <sortState xmlns:xlrd2="http://schemas.microsoft.com/office/spreadsheetml/2017/richdata2" ref="P12:Q27">
    <sortCondition ref="P12:P27"/>
  </sortState>
  <mergeCells count="1">
    <mergeCell ref="A1:B1"/>
  </mergeCells>
  <dataValidations count="2">
    <dataValidation type="list" allowBlank="1" showInputMessage="1" showErrorMessage="1" sqref="K3:K18" xr:uid="{B031AEF5-9107-472E-B9FF-B898390C611C}">
      <formula1>res_code</formula1>
    </dataValidation>
    <dataValidation type="whole" allowBlank="1" showInputMessage="1" showErrorMessage="1" sqref="G3:G18" xr:uid="{68DCAC14-785E-43B7-A596-4B6FAB2FD7C3}">
      <formula1>0</formula1>
      <formula2>4</formula2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BK281"/>
  <sheetViews>
    <sheetView workbookViewId="0">
      <selection activeCell="A3" sqref="A3:B281"/>
    </sheetView>
  </sheetViews>
  <sheetFormatPr baseColWidth="10" defaultColWidth="9.140625" defaultRowHeight="15" x14ac:dyDescent="0.25"/>
  <cols>
    <col min="5" max="5" width="10.85546875" customWidth="1"/>
  </cols>
  <sheetData>
    <row r="1" spans="1:63" x14ac:dyDescent="0.25">
      <c r="B1" s="42" t="s">
        <v>12</v>
      </c>
      <c r="C1" s="42"/>
      <c r="D1" s="42"/>
      <c r="E1" s="43" t="s">
        <v>14</v>
      </c>
      <c r="F1" s="42" t="s">
        <v>11</v>
      </c>
      <c r="G1" s="42"/>
    </row>
    <row r="2" spans="1:63" x14ac:dyDescent="0.25">
      <c r="B2" s="2" t="s">
        <v>10</v>
      </c>
      <c r="C2" s="2" t="s">
        <v>9</v>
      </c>
      <c r="D2" s="2" t="s">
        <v>15</v>
      </c>
      <c r="E2" s="42"/>
      <c r="F2" s="2" t="s">
        <v>9</v>
      </c>
      <c r="G2" s="2" t="s">
        <v>13</v>
      </c>
    </row>
    <row r="3" spans="1:63" x14ac:dyDescent="0.25">
      <c r="A3" s="33" t="s">
        <v>94</v>
      </c>
      <c r="F3">
        <f ca="1">SUM(OFFSET(F4,,,8/nbrCell))</f>
        <v>9</v>
      </c>
      <c r="G3">
        <f ca="1">SUM(OFFSET(G4,,,8/nbrCell))</f>
        <v>2</v>
      </c>
      <c r="J3" s="28" t="s">
        <v>61</v>
      </c>
      <c r="K3" s="28" t="s">
        <v>51</v>
      </c>
      <c r="L3" s="28" t="s">
        <v>62</v>
      </c>
      <c r="M3" s="28" t="s">
        <v>52</v>
      </c>
      <c r="N3" s="28" t="s">
        <v>63</v>
      </c>
      <c r="O3" s="28" t="s">
        <v>53</v>
      </c>
      <c r="P3" s="28" t="s">
        <v>64</v>
      </c>
      <c r="Q3" s="28" t="s">
        <v>54</v>
      </c>
      <c r="R3" s="28" t="s">
        <v>65</v>
      </c>
      <c r="S3" s="28" t="s">
        <v>55</v>
      </c>
      <c r="T3" s="28" t="s">
        <v>66</v>
      </c>
      <c r="U3" s="28" t="s">
        <v>56</v>
      </c>
      <c r="V3" s="28" t="s">
        <v>67</v>
      </c>
      <c r="W3" s="28" t="s">
        <v>57</v>
      </c>
      <c r="X3" s="28" t="s">
        <v>68</v>
      </c>
      <c r="Y3" s="28" t="s">
        <v>58</v>
      </c>
      <c r="Z3" s="28" t="s">
        <v>69</v>
      </c>
      <c r="AA3" s="28" t="s">
        <v>59</v>
      </c>
      <c r="AB3" s="28" t="s">
        <v>70</v>
      </c>
      <c r="AC3" s="28" t="s">
        <v>60</v>
      </c>
      <c r="AD3" s="28" t="s">
        <v>71</v>
      </c>
      <c r="AE3" s="28" t="s">
        <v>41</v>
      </c>
      <c r="AF3" s="28" t="s">
        <v>72</v>
      </c>
      <c r="AG3" s="28" t="s">
        <v>42</v>
      </c>
      <c r="AH3" s="28" t="s">
        <v>73</v>
      </c>
      <c r="AI3" s="28" t="s">
        <v>43</v>
      </c>
      <c r="AJ3" s="28" t="s">
        <v>74</v>
      </c>
      <c r="AK3" s="28" t="s">
        <v>44</v>
      </c>
      <c r="AL3" s="28" t="s">
        <v>75</v>
      </c>
      <c r="AM3" s="28" t="s">
        <v>45</v>
      </c>
      <c r="AN3" s="28" t="s">
        <v>76</v>
      </c>
      <c r="AO3" s="28" t="s">
        <v>46</v>
      </c>
      <c r="AP3" s="28" t="s">
        <v>77</v>
      </c>
      <c r="AQ3" s="28" t="s">
        <v>47</v>
      </c>
      <c r="AR3" s="28" t="s">
        <v>78</v>
      </c>
      <c r="AS3" s="28" t="s">
        <v>48</v>
      </c>
      <c r="AT3" s="28" t="s">
        <v>79</v>
      </c>
      <c r="AU3" s="28" t="s">
        <v>49</v>
      </c>
      <c r="AV3" s="28" t="s">
        <v>80</v>
      </c>
      <c r="AW3" s="28" t="s">
        <v>50</v>
      </c>
      <c r="AX3" s="28" t="s">
        <v>90</v>
      </c>
      <c r="AY3" s="28" t="s">
        <v>81</v>
      </c>
      <c r="AZ3" s="28" t="s">
        <v>91</v>
      </c>
      <c r="BA3" s="28" t="s">
        <v>82</v>
      </c>
      <c r="BB3" s="28" t="s">
        <v>92</v>
      </c>
      <c r="BC3" s="28" t="s">
        <v>83</v>
      </c>
      <c r="BD3" s="28" t="s">
        <v>93</v>
      </c>
      <c r="BE3" s="28" t="s">
        <v>84</v>
      </c>
      <c r="BF3" s="28" t="s">
        <v>95</v>
      </c>
      <c r="BG3" s="28" t="s">
        <v>85</v>
      </c>
      <c r="BH3" s="28" t="s">
        <v>96</v>
      </c>
      <c r="BI3" s="28" t="s">
        <v>86</v>
      </c>
      <c r="BJ3" s="28" t="s">
        <v>97</v>
      </c>
      <c r="BK3" s="28" t="s">
        <v>87</v>
      </c>
    </row>
    <row r="4" spans="1:63" x14ac:dyDescent="0.25">
      <c r="A4" s="29" t="s">
        <v>35</v>
      </c>
      <c r="B4" s="29">
        <v>6</v>
      </c>
      <c r="C4">
        <f t="shared" ref="C4:C11" si="0">VLOOKUP(A4,result,2)</f>
        <v>4</v>
      </c>
      <c r="D4">
        <f t="shared" ref="D4:D11" si="1">VLOOKUP(A4,resTot,5)</f>
        <v>6</v>
      </c>
      <c r="E4">
        <f t="shared" ref="E4:E11" si="2">IF(ISNA(VLOOKUP(A4,resTot,6)),0,VLOOKUP(A4,resTot,6))</f>
        <v>1</v>
      </c>
      <c r="F4">
        <f t="shared" ref="F4:F11" si="3">IF(E4&lt;0,0,    IF(AND(E4&gt;0,B4=D4 ),pointsSerie+pointsPoints,  IF(E4&gt;0,pointsSerie,0)  )  )</f>
        <v>3</v>
      </c>
      <c r="G4">
        <f t="shared" ref="G4:G11" si="4">IF(E4=0,   IF(B4-D4 &gt;= 4 -C4, pointsSerie+pointsPoints,    IF(7-D4 &gt;= 4 -C4, pointsSerie, 0)  ),    0  )</f>
        <v>0</v>
      </c>
      <c r="J4" s="29" t="s">
        <v>35</v>
      </c>
      <c r="K4" s="29">
        <v>6</v>
      </c>
      <c r="L4" s="29" t="s">
        <v>0</v>
      </c>
      <c r="M4" s="29">
        <v>6</v>
      </c>
      <c r="N4" s="29" t="s">
        <v>35</v>
      </c>
      <c r="O4" s="29">
        <v>6</v>
      </c>
      <c r="P4" s="29" t="s">
        <v>35</v>
      </c>
      <c r="Q4" s="29">
        <v>6</v>
      </c>
      <c r="R4" s="29" t="s">
        <v>35</v>
      </c>
      <c r="S4" s="29">
        <v>6</v>
      </c>
      <c r="T4" s="29" t="s">
        <v>35</v>
      </c>
      <c r="U4" s="29">
        <v>6</v>
      </c>
      <c r="V4" s="29" t="s">
        <v>35</v>
      </c>
      <c r="W4" s="29">
        <v>7</v>
      </c>
      <c r="X4" s="29" t="s">
        <v>0</v>
      </c>
      <c r="Y4" s="29">
        <v>7</v>
      </c>
      <c r="Z4" s="29" t="s">
        <v>0</v>
      </c>
      <c r="AA4" s="29">
        <v>5</v>
      </c>
      <c r="AB4" s="29" t="s">
        <v>35</v>
      </c>
      <c r="AC4" s="29">
        <v>6</v>
      </c>
      <c r="AD4" s="29" t="s">
        <v>35</v>
      </c>
      <c r="AE4" s="29">
        <v>7</v>
      </c>
      <c r="AF4" s="29" t="s">
        <v>0</v>
      </c>
      <c r="AG4" s="29">
        <v>4</v>
      </c>
      <c r="AH4" s="29" t="s">
        <v>35</v>
      </c>
      <c r="AI4" s="29">
        <v>5</v>
      </c>
      <c r="AJ4" s="29" t="s">
        <v>35</v>
      </c>
      <c r="AK4" s="29">
        <v>6</v>
      </c>
      <c r="AL4" s="29" t="s">
        <v>35</v>
      </c>
      <c r="AM4" s="29">
        <v>6</v>
      </c>
      <c r="AN4" s="29" t="s">
        <v>35</v>
      </c>
      <c r="AO4" s="29">
        <v>6</v>
      </c>
      <c r="AP4" s="29" t="s">
        <v>0</v>
      </c>
      <c r="AQ4" s="29">
        <v>6</v>
      </c>
      <c r="AR4" s="29" t="s">
        <v>35</v>
      </c>
      <c r="AS4" s="29">
        <v>6</v>
      </c>
      <c r="AT4" s="29" t="s">
        <v>0</v>
      </c>
      <c r="AU4" s="29">
        <v>6</v>
      </c>
      <c r="AV4" s="29" t="s">
        <v>35</v>
      </c>
      <c r="AW4" s="29">
        <v>6</v>
      </c>
      <c r="AX4" s="29" t="s">
        <v>35</v>
      </c>
      <c r="AY4" s="29">
        <v>6</v>
      </c>
      <c r="AZ4" s="29" t="s">
        <v>0</v>
      </c>
      <c r="BA4" s="29">
        <v>7</v>
      </c>
      <c r="BB4" s="29" t="s">
        <v>0</v>
      </c>
      <c r="BC4" s="29">
        <v>5</v>
      </c>
      <c r="BD4" s="29" t="s">
        <v>0</v>
      </c>
      <c r="BE4" s="29">
        <v>6</v>
      </c>
      <c r="BF4" s="29" t="s">
        <v>35</v>
      </c>
      <c r="BG4" s="29">
        <v>6</v>
      </c>
      <c r="BH4" s="29" t="s">
        <v>35</v>
      </c>
      <c r="BI4" s="29">
        <v>5</v>
      </c>
      <c r="BJ4" s="29" t="s">
        <v>35</v>
      </c>
      <c r="BK4" s="29">
        <v>5</v>
      </c>
    </row>
    <row r="5" spans="1:63" x14ac:dyDescent="0.25">
      <c r="A5" s="29" t="s">
        <v>31</v>
      </c>
      <c r="B5" s="29">
        <v>6</v>
      </c>
      <c r="C5">
        <f t="shared" si="0"/>
        <v>3</v>
      </c>
      <c r="D5">
        <f t="shared" si="1"/>
        <v>6</v>
      </c>
      <c r="E5">
        <f t="shared" si="2"/>
        <v>0</v>
      </c>
      <c r="F5">
        <f t="shared" si="3"/>
        <v>0</v>
      </c>
      <c r="G5">
        <f t="shared" si="4"/>
        <v>2</v>
      </c>
      <c r="J5" s="29" t="s">
        <v>31</v>
      </c>
      <c r="K5" s="29">
        <v>7</v>
      </c>
      <c r="L5" s="29" t="s">
        <v>31</v>
      </c>
      <c r="M5" s="29">
        <v>7</v>
      </c>
      <c r="N5" s="29" t="s">
        <v>1</v>
      </c>
      <c r="O5" s="29">
        <v>5</v>
      </c>
      <c r="P5" s="29" t="s">
        <v>1</v>
      </c>
      <c r="Q5" s="29">
        <v>6</v>
      </c>
      <c r="R5" s="29" t="s">
        <v>31</v>
      </c>
      <c r="S5" s="29">
        <v>7</v>
      </c>
      <c r="T5" s="29" t="s">
        <v>1</v>
      </c>
      <c r="U5" s="29">
        <v>7</v>
      </c>
      <c r="V5" s="29" t="s">
        <v>1</v>
      </c>
      <c r="W5" s="29">
        <v>6</v>
      </c>
      <c r="X5" s="29" t="s">
        <v>31</v>
      </c>
      <c r="Y5" s="29">
        <v>6</v>
      </c>
      <c r="Z5" s="29" t="s">
        <v>31</v>
      </c>
      <c r="AA5" s="29">
        <v>7</v>
      </c>
      <c r="AB5" s="29" t="s">
        <v>31</v>
      </c>
      <c r="AC5" s="29">
        <v>7</v>
      </c>
      <c r="AD5" s="29" t="s">
        <v>31</v>
      </c>
      <c r="AE5" s="29">
        <v>6</v>
      </c>
      <c r="AF5" s="29" t="s">
        <v>31</v>
      </c>
      <c r="AG5" s="29">
        <v>7</v>
      </c>
      <c r="AH5" s="29" t="s">
        <v>31</v>
      </c>
      <c r="AI5" s="29">
        <v>7</v>
      </c>
      <c r="AJ5" s="29" t="s">
        <v>1</v>
      </c>
      <c r="AK5" s="29">
        <v>7</v>
      </c>
      <c r="AL5" s="29" t="s">
        <v>31</v>
      </c>
      <c r="AM5" s="29">
        <v>5</v>
      </c>
      <c r="AN5" s="29" t="s">
        <v>31</v>
      </c>
      <c r="AO5" s="29">
        <v>6</v>
      </c>
      <c r="AP5" s="29" t="s">
        <v>1</v>
      </c>
      <c r="AQ5" s="29">
        <v>6</v>
      </c>
      <c r="AR5" s="29" t="s">
        <v>31</v>
      </c>
      <c r="AS5" s="29">
        <v>6</v>
      </c>
      <c r="AT5" s="29" t="s">
        <v>1</v>
      </c>
      <c r="AU5" s="29">
        <v>6</v>
      </c>
      <c r="AV5" s="29" t="s">
        <v>1</v>
      </c>
      <c r="AW5" s="29">
        <v>7</v>
      </c>
      <c r="AX5" s="29" t="s">
        <v>1</v>
      </c>
      <c r="AY5" s="29">
        <v>7</v>
      </c>
      <c r="AZ5" s="29" t="s">
        <v>31</v>
      </c>
      <c r="BA5" s="29">
        <v>6</v>
      </c>
      <c r="BB5" s="29" t="s">
        <v>31</v>
      </c>
      <c r="BC5" s="29">
        <v>6</v>
      </c>
      <c r="BD5" s="29" t="s">
        <v>1</v>
      </c>
      <c r="BE5" s="29">
        <v>6</v>
      </c>
      <c r="BF5" s="29" t="s">
        <v>31</v>
      </c>
      <c r="BG5" s="29">
        <v>7</v>
      </c>
      <c r="BH5" s="29" t="s">
        <v>1</v>
      </c>
      <c r="BI5" s="29">
        <v>7</v>
      </c>
      <c r="BJ5" s="29" t="s">
        <v>31</v>
      </c>
      <c r="BK5" s="29">
        <v>7</v>
      </c>
    </row>
    <row r="6" spans="1:63" x14ac:dyDescent="0.25">
      <c r="A6" s="29" t="s">
        <v>2</v>
      </c>
      <c r="B6" s="29">
        <v>5</v>
      </c>
      <c r="C6">
        <f t="shared" si="0"/>
        <v>4</v>
      </c>
      <c r="D6">
        <f t="shared" si="1"/>
        <v>4</v>
      </c>
      <c r="E6">
        <f t="shared" si="2"/>
        <v>1</v>
      </c>
      <c r="F6">
        <f t="shared" si="3"/>
        <v>2</v>
      </c>
      <c r="G6">
        <f t="shared" si="4"/>
        <v>0</v>
      </c>
      <c r="J6" s="29" t="s">
        <v>30</v>
      </c>
      <c r="K6" s="29">
        <v>7</v>
      </c>
      <c r="L6" s="29" t="s">
        <v>2</v>
      </c>
      <c r="M6" s="29">
        <v>5</v>
      </c>
      <c r="N6" s="29" t="s">
        <v>2</v>
      </c>
      <c r="O6" s="29">
        <v>7</v>
      </c>
      <c r="P6" s="29" t="s">
        <v>2</v>
      </c>
      <c r="Q6" s="29">
        <v>5</v>
      </c>
      <c r="R6" s="29" t="s">
        <v>2</v>
      </c>
      <c r="S6" s="29">
        <v>5</v>
      </c>
      <c r="T6" s="29" t="s">
        <v>30</v>
      </c>
      <c r="U6" s="29">
        <v>6</v>
      </c>
      <c r="V6" s="29" t="s">
        <v>2</v>
      </c>
      <c r="W6" s="29">
        <v>7</v>
      </c>
      <c r="X6" s="29" t="s">
        <v>2</v>
      </c>
      <c r="Y6" s="29">
        <v>5</v>
      </c>
      <c r="Z6" s="29" t="s">
        <v>2</v>
      </c>
      <c r="AA6" s="29">
        <v>5</v>
      </c>
      <c r="AB6" s="29" t="s">
        <v>2</v>
      </c>
      <c r="AC6" s="29">
        <v>6</v>
      </c>
      <c r="AD6" s="29" t="s">
        <v>2</v>
      </c>
      <c r="AE6" s="29">
        <v>5</v>
      </c>
      <c r="AF6" s="29" t="s">
        <v>30</v>
      </c>
      <c r="AG6" s="29">
        <v>5</v>
      </c>
      <c r="AH6" s="29" t="s">
        <v>2</v>
      </c>
      <c r="AI6" s="29">
        <v>5</v>
      </c>
      <c r="AJ6" s="29" t="s">
        <v>2</v>
      </c>
      <c r="AK6" s="29">
        <v>6</v>
      </c>
      <c r="AL6" s="29" t="s">
        <v>2</v>
      </c>
      <c r="AM6" s="29">
        <v>6</v>
      </c>
      <c r="AN6" s="29" t="s">
        <v>30</v>
      </c>
      <c r="AO6" s="29">
        <v>7</v>
      </c>
      <c r="AP6" s="29" t="s">
        <v>2</v>
      </c>
      <c r="AQ6" s="29">
        <v>5</v>
      </c>
      <c r="AR6" s="29" t="s">
        <v>2</v>
      </c>
      <c r="AS6" s="29">
        <v>6</v>
      </c>
      <c r="AT6" s="29" t="s">
        <v>2</v>
      </c>
      <c r="AU6" s="29">
        <v>5</v>
      </c>
      <c r="AV6" s="29" t="s">
        <v>2</v>
      </c>
      <c r="AW6" s="29">
        <v>7</v>
      </c>
      <c r="AX6" s="29" t="s">
        <v>30</v>
      </c>
      <c r="AY6" s="29">
        <v>7</v>
      </c>
      <c r="AZ6" s="29" t="s">
        <v>2</v>
      </c>
      <c r="BA6" s="29">
        <v>6</v>
      </c>
      <c r="BB6" s="29" t="s">
        <v>2</v>
      </c>
      <c r="BC6" s="29">
        <v>5</v>
      </c>
      <c r="BD6" s="29" t="s">
        <v>2</v>
      </c>
      <c r="BE6" s="29">
        <v>5</v>
      </c>
      <c r="BF6" s="29" t="s">
        <v>2</v>
      </c>
      <c r="BG6" s="29">
        <v>6</v>
      </c>
      <c r="BH6" s="29" t="s">
        <v>30</v>
      </c>
      <c r="BI6" s="29">
        <v>6</v>
      </c>
      <c r="BJ6" s="29" t="s">
        <v>2</v>
      </c>
      <c r="BK6" s="29">
        <v>6</v>
      </c>
    </row>
    <row r="7" spans="1:63" x14ac:dyDescent="0.25">
      <c r="A7" s="29" t="s">
        <v>37</v>
      </c>
      <c r="B7" s="29">
        <v>7</v>
      </c>
      <c r="C7">
        <f t="shared" si="0"/>
        <v>4</v>
      </c>
      <c r="D7">
        <f t="shared" si="1"/>
        <v>6</v>
      </c>
      <c r="E7">
        <f t="shared" si="2"/>
        <v>1</v>
      </c>
      <c r="F7">
        <f t="shared" si="3"/>
        <v>2</v>
      </c>
      <c r="G7">
        <f t="shared" si="4"/>
        <v>0</v>
      </c>
      <c r="J7" s="29" t="s">
        <v>36</v>
      </c>
      <c r="K7" s="29">
        <v>7</v>
      </c>
      <c r="L7" s="29" t="s">
        <v>36</v>
      </c>
      <c r="M7" s="29">
        <v>5</v>
      </c>
      <c r="N7" s="29" t="s">
        <v>36</v>
      </c>
      <c r="O7" s="29">
        <v>6</v>
      </c>
      <c r="P7" s="29" t="s">
        <v>36</v>
      </c>
      <c r="Q7" s="29">
        <v>7</v>
      </c>
      <c r="R7" s="29" t="s">
        <v>36</v>
      </c>
      <c r="S7" s="29">
        <v>6</v>
      </c>
      <c r="T7" s="29" t="s">
        <v>37</v>
      </c>
      <c r="U7" s="29">
        <v>6</v>
      </c>
      <c r="V7" s="29" t="s">
        <v>36</v>
      </c>
      <c r="W7" s="29">
        <v>7</v>
      </c>
      <c r="X7" s="29" t="s">
        <v>36</v>
      </c>
      <c r="Y7" s="29">
        <v>6</v>
      </c>
      <c r="Z7" s="29" t="s">
        <v>36</v>
      </c>
      <c r="AA7" s="29">
        <v>7</v>
      </c>
      <c r="AB7" s="29" t="s">
        <v>37</v>
      </c>
      <c r="AC7" s="29">
        <v>6</v>
      </c>
      <c r="AD7" s="29" t="s">
        <v>37</v>
      </c>
      <c r="AE7" s="29">
        <v>6</v>
      </c>
      <c r="AF7" s="29" t="s">
        <v>36</v>
      </c>
      <c r="AG7" s="29">
        <v>7</v>
      </c>
      <c r="AH7" s="29" t="s">
        <v>36</v>
      </c>
      <c r="AI7" s="29">
        <v>7</v>
      </c>
      <c r="AJ7" s="29" t="s">
        <v>37</v>
      </c>
      <c r="AK7" s="29">
        <v>6</v>
      </c>
      <c r="AL7" s="29" t="s">
        <v>36</v>
      </c>
      <c r="AM7" s="29">
        <v>7</v>
      </c>
      <c r="AN7" s="29" t="s">
        <v>36</v>
      </c>
      <c r="AO7" s="29">
        <v>6</v>
      </c>
      <c r="AP7" s="29" t="s">
        <v>36</v>
      </c>
      <c r="AQ7" s="29">
        <v>6</v>
      </c>
      <c r="AR7" s="29" t="s">
        <v>37</v>
      </c>
      <c r="AS7" s="29">
        <v>6</v>
      </c>
      <c r="AT7" s="29" t="s">
        <v>36</v>
      </c>
      <c r="AU7" s="29">
        <v>6</v>
      </c>
      <c r="AV7" s="29" t="s">
        <v>36</v>
      </c>
      <c r="AW7" s="29">
        <v>7</v>
      </c>
      <c r="AX7" s="29" t="s">
        <v>36</v>
      </c>
      <c r="AY7" s="29">
        <v>5</v>
      </c>
      <c r="AZ7" s="29" t="s">
        <v>36</v>
      </c>
      <c r="BA7" s="29">
        <v>7</v>
      </c>
      <c r="BB7" s="29" t="s">
        <v>36</v>
      </c>
      <c r="BC7" s="29">
        <v>6</v>
      </c>
      <c r="BD7" s="29" t="s">
        <v>36</v>
      </c>
      <c r="BE7" s="29">
        <v>5</v>
      </c>
      <c r="BF7" s="29" t="s">
        <v>36</v>
      </c>
      <c r="BG7" s="29">
        <v>6</v>
      </c>
      <c r="BH7" s="29" t="s">
        <v>36</v>
      </c>
      <c r="BI7" s="29">
        <v>5</v>
      </c>
      <c r="BJ7" s="29" t="s">
        <v>37</v>
      </c>
      <c r="BK7" s="29">
        <v>7</v>
      </c>
    </row>
    <row r="8" spans="1:63" x14ac:dyDescent="0.25">
      <c r="A8" s="29" t="s">
        <v>5</v>
      </c>
      <c r="B8" s="29">
        <v>5</v>
      </c>
      <c r="C8">
        <f t="shared" si="0"/>
        <v>4</v>
      </c>
      <c r="D8">
        <f t="shared" si="1"/>
        <v>4</v>
      </c>
      <c r="E8">
        <f t="shared" si="2"/>
        <v>1</v>
      </c>
      <c r="F8">
        <f t="shared" si="3"/>
        <v>2</v>
      </c>
      <c r="G8">
        <f t="shared" si="4"/>
        <v>0</v>
      </c>
      <c r="J8" s="29" t="s">
        <v>5</v>
      </c>
      <c r="K8" s="29">
        <v>5</v>
      </c>
      <c r="L8" s="29" t="s">
        <v>5</v>
      </c>
      <c r="M8" s="29">
        <v>4</v>
      </c>
      <c r="N8" s="29" t="s">
        <v>5</v>
      </c>
      <c r="O8" s="29">
        <v>5</v>
      </c>
      <c r="P8" s="29" t="s">
        <v>5</v>
      </c>
      <c r="Q8" s="29">
        <v>4</v>
      </c>
      <c r="R8" s="29" t="s">
        <v>5</v>
      </c>
      <c r="S8" s="29">
        <v>5</v>
      </c>
      <c r="T8" s="29" t="s">
        <v>5</v>
      </c>
      <c r="U8" s="29">
        <v>5</v>
      </c>
      <c r="V8" s="29" t="s">
        <v>5</v>
      </c>
      <c r="W8" s="29">
        <v>5</v>
      </c>
      <c r="X8" s="29" t="s">
        <v>5</v>
      </c>
      <c r="Y8" s="29">
        <v>4</v>
      </c>
      <c r="Z8" s="29" t="s">
        <v>5</v>
      </c>
      <c r="AA8" s="29">
        <v>5</v>
      </c>
      <c r="AB8" s="29" t="s">
        <v>5</v>
      </c>
      <c r="AC8" s="29">
        <v>6</v>
      </c>
      <c r="AD8" s="29" t="s">
        <v>5</v>
      </c>
      <c r="AE8" s="29">
        <v>4</v>
      </c>
      <c r="AF8" s="29" t="s">
        <v>8</v>
      </c>
      <c r="AG8" s="29">
        <v>4</v>
      </c>
      <c r="AH8" s="29" t="s">
        <v>5</v>
      </c>
      <c r="AI8" s="29">
        <v>5</v>
      </c>
      <c r="AJ8" s="29" t="s">
        <v>5</v>
      </c>
      <c r="AK8" s="29">
        <v>5</v>
      </c>
      <c r="AL8" s="29" t="s">
        <v>5</v>
      </c>
      <c r="AM8" s="29">
        <v>4</v>
      </c>
      <c r="AN8" s="29" t="s">
        <v>5</v>
      </c>
      <c r="AO8" s="29">
        <v>4</v>
      </c>
      <c r="AP8" s="29" t="s">
        <v>5</v>
      </c>
      <c r="AQ8" s="29">
        <v>5</v>
      </c>
      <c r="AR8" s="29" t="s">
        <v>5</v>
      </c>
      <c r="AS8" s="29">
        <v>6</v>
      </c>
      <c r="AT8" s="29" t="s">
        <v>5</v>
      </c>
      <c r="AU8" s="29">
        <v>6</v>
      </c>
      <c r="AV8" s="29" t="s">
        <v>5</v>
      </c>
      <c r="AW8" s="29">
        <v>5</v>
      </c>
      <c r="AX8" s="29" t="s">
        <v>5</v>
      </c>
      <c r="AY8" s="29">
        <v>4</v>
      </c>
      <c r="AZ8" s="29" t="s">
        <v>5</v>
      </c>
      <c r="BA8" s="29">
        <v>4</v>
      </c>
      <c r="BB8" s="29" t="s">
        <v>5</v>
      </c>
      <c r="BC8" s="29">
        <v>7</v>
      </c>
      <c r="BD8" s="29" t="s">
        <v>8</v>
      </c>
      <c r="BE8" s="29">
        <v>7</v>
      </c>
      <c r="BF8" s="29" t="s">
        <v>5</v>
      </c>
      <c r="BG8" s="29">
        <v>5</v>
      </c>
      <c r="BH8" s="29" t="s">
        <v>5</v>
      </c>
      <c r="BI8" s="29">
        <v>4</v>
      </c>
      <c r="BJ8" s="29" t="s">
        <v>5</v>
      </c>
      <c r="BK8" s="29">
        <v>4</v>
      </c>
    </row>
    <row r="9" spans="1:63" x14ac:dyDescent="0.25">
      <c r="A9" s="29" t="s">
        <v>7</v>
      </c>
      <c r="B9" s="29">
        <v>7</v>
      </c>
      <c r="C9">
        <f t="shared" si="0"/>
        <v>2</v>
      </c>
      <c r="D9">
        <f t="shared" si="1"/>
        <v>6</v>
      </c>
      <c r="E9">
        <f t="shared" si="2"/>
        <v>-1</v>
      </c>
      <c r="F9">
        <f t="shared" si="3"/>
        <v>0</v>
      </c>
      <c r="G9">
        <f t="shared" si="4"/>
        <v>0</v>
      </c>
      <c r="J9" s="29" t="s">
        <v>7</v>
      </c>
      <c r="K9" s="29">
        <v>7</v>
      </c>
      <c r="L9" s="29" t="s">
        <v>7</v>
      </c>
      <c r="M9" s="29">
        <v>7</v>
      </c>
      <c r="N9" s="29" t="s">
        <v>7</v>
      </c>
      <c r="O9" s="29">
        <v>7</v>
      </c>
      <c r="P9" s="29" t="s">
        <v>7</v>
      </c>
      <c r="Q9" s="29">
        <v>7</v>
      </c>
      <c r="R9" s="29" t="s">
        <v>7</v>
      </c>
      <c r="S9" s="29">
        <v>7</v>
      </c>
      <c r="T9" s="29" t="s">
        <v>7</v>
      </c>
      <c r="U9" s="29">
        <v>6</v>
      </c>
      <c r="V9" s="29" t="s">
        <v>7</v>
      </c>
      <c r="W9" s="29">
        <v>7</v>
      </c>
      <c r="X9" s="29" t="s">
        <v>6</v>
      </c>
      <c r="Y9" s="29">
        <v>7</v>
      </c>
      <c r="Z9" s="29" t="s">
        <v>7</v>
      </c>
      <c r="AA9" s="29">
        <v>6</v>
      </c>
      <c r="AB9" s="29" t="s">
        <v>7</v>
      </c>
      <c r="AC9" s="29">
        <v>7</v>
      </c>
      <c r="AD9" s="29" t="s">
        <v>6</v>
      </c>
      <c r="AE9" s="29">
        <v>6</v>
      </c>
      <c r="AF9" s="29" t="s">
        <v>7</v>
      </c>
      <c r="AG9" s="29">
        <v>7</v>
      </c>
      <c r="AH9" s="29" t="s">
        <v>7</v>
      </c>
      <c r="AI9" s="29">
        <v>6</v>
      </c>
      <c r="AJ9" s="29" t="s">
        <v>7</v>
      </c>
      <c r="AK9" s="29">
        <v>6</v>
      </c>
      <c r="AL9" s="29" t="s">
        <v>7</v>
      </c>
      <c r="AM9" s="29">
        <v>6</v>
      </c>
      <c r="AN9" s="29" t="s">
        <v>7</v>
      </c>
      <c r="AO9" s="29">
        <v>6</v>
      </c>
      <c r="AP9" s="29" t="s">
        <v>7</v>
      </c>
      <c r="AQ9" s="29">
        <v>6</v>
      </c>
      <c r="AR9" s="29" t="s">
        <v>7</v>
      </c>
      <c r="AS9" s="29">
        <v>6</v>
      </c>
      <c r="AT9" s="29" t="s">
        <v>7</v>
      </c>
      <c r="AU9" s="29">
        <v>6</v>
      </c>
      <c r="AV9" s="29" t="s">
        <v>7</v>
      </c>
      <c r="AW9" s="29">
        <v>7</v>
      </c>
      <c r="AX9" s="29" t="s">
        <v>7</v>
      </c>
      <c r="AY9" s="29">
        <v>7</v>
      </c>
      <c r="AZ9" s="29" t="s">
        <v>7</v>
      </c>
      <c r="BA9" s="29">
        <v>7</v>
      </c>
      <c r="BB9" s="29" t="s">
        <v>7</v>
      </c>
      <c r="BC9" s="29">
        <v>7</v>
      </c>
      <c r="BD9" s="29" t="s">
        <v>7</v>
      </c>
      <c r="BE9" s="29">
        <v>6</v>
      </c>
      <c r="BF9" s="29" t="s">
        <v>7</v>
      </c>
      <c r="BG9" s="29">
        <v>7</v>
      </c>
      <c r="BH9" s="29" t="s">
        <v>7</v>
      </c>
      <c r="BI9" s="29">
        <v>7</v>
      </c>
      <c r="BJ9" s="29" t="s">
        <v>7</v>
      </c>
      <c r="BK9" s="29">
        <v>6</v>
      </c>
    </row>
    <row r="10" spans="1:63" x14ac:dyDescent="0.25">
      <c r="A10" s="29" t="s">
        <v>4</v>
      </c>
      <c r="B10" s="29">
        <v>5</v>
      </c>
      <c r="C10">
        <f t="shared" si="0"/>
        <v>2</v>
      </c>
      <c r="D10">
        <f t="shared" si="1"/>
        <v>6</v>
      </c>
      <c r="E10">
        <f t="shared" si="2"/>
        <v>-1</v>
      </c>
      <c r="F10">
        <f t="shared" si="3"/>
        <v>0</v>
      </c>
      <c r="G10">
        <f t="shared" si="4"/>
        <v>0</v>
      </c>
      <c r="J10" s="29" t="s">
        <v>4</v>
      </c>
      <c r="K10" s="29">
        <v>7</v>
      </c>
      <c r="L10" s="29" t="s">
        <v>4</v>
      </c>
      <c r="M10" s="29">
        <v>5</v>
      </c>
      <c r="N10" s="29" t="s">
        <v>4</v>
      </c>
      <c r="O10" s="29">
        <v>5</v>
      </c>
      <c r="P10" s="29" t="s">
        <v>4</v>
      </c>
      <c r="Q10" s="29">
        <v>5</v>
      </c>
      <c r="R10" s="29" t="s">
        <v>4</v>
      </c>
      <c r="S10" s="29">
        <v>5</v>
      </c>
      <c r="T10" s="29" t="s">
        <v>4</v>
      </c>
      <c r="U10" s="29">
        <v>6</v>
      </c>
      <c r="V10" s="29" t="s">
        <v>4</v>
      </c>
      <c r="W10" s="29">
        <v>6</v>
      </c>
      <c r="X10" s="29" t="s">
        <v>4</v>
      </c>
      <c r="Y10" s="29">
        <v>7</v>
      </c>
      <c r="Z10" s="29" t="s">
        <v>4</v>
      </c>
      <c r="AA10" s="29">
        <v>6</v>
      </c>
      <c r="AB10" s="29" t="s">
        <v>4</v>
      </c>
      <c r="AC10" s="29">
        <v>5</v>
      </c>
      <c r="AD10" s="29" t="s">
        <v>4</v>
      </c>
      <c r="AE10" s="29">
        <v>5</v>
      </c>
      <c r="AF10" s="29" t="s">
        <v>4</v>
      </c>
      <c r="AG10" s="29">
        <v>4</v>
      </c>
      <c r="AH10" s="29" t="s">
        <v>4</v>
      </c>
      <c r="AI10" s="29">
        <v>7</v>
      </c>
      <c r="AJ10" s="29" t="s">
        <v>4</v>
      </c>
      <c r="AK10" s="29">
        <v>6</v>
      </c>
      <c r="AL10" s="29" t="s">
        <v>4</v>
      </c>
      <c r="AM10" s="29">
        <v>6</v>
      </c>
      <c r="AN10" s="29" t="s">
        <v>4</v>
      </c>
      <c r="AO10" s="29">
        <v>6</v>
      </c>
      <c r="AP10" s="29" t="s">
        <v>4</v>
      </c>
      <c r="AQ10" s="29">
        <v>6</v>
      </c>
      <c r="AR10" s="29" t="s">
        <v>4</v>
      </c>
      <c r="AS10" s="29">
        <v>6</v>
      </c>
      <c r="AT10" s="29" t="s">
        <v>4</v>
      </c>
      <c r="AU10" s="29">
        <v>5</v>
      </c>
      <c r="AV10" s="29" t="s">
        <v>34</v>
      </c>
      <c r="AW10" s="29">
        <v>7</v>
      </c>
      <c r="AX10" s="29" t="s">
        <v>4</v>
      </c>
      <c r="AY10" s="29">
        <v>5</v>
      </c>
      <c r="AZ10" s="29" t="s">
        <v>4</v>
      </c>
      <c r="BA10" s="29">
        <v>6</v>
      </c>
      <c r="BB10" s="29" t="s">
        <v>34</v>
      </c>
      <c r="BC10" s="29">
        <v>4</v>
      </c>
      <c r="BD10" s="29" t="s">
        <v>4</v>
      </c>
      <c r="BE10" s="29">
        <v>4</v>
      </c>
      <c r="BF10" s="29" t="s">
        <v>4</v>
      </c>
      <c r="BG10" s="29">
        <v>5</v>
      </c>
      <c r="BH10" s="29" t="s">
        <v>4</v>
      </c>
      <c r="BI10" s="29">
        <v>6</v>
      </c>
      <c r="BJ10" s="29" t="s">
        <v>34</v>
      </c>
      <c r="BK10" s="29">
        <v>7</v>
      </c>
    </row>
    <row r="11" spans="1:63" x14ac:dyDescent="0.25">
      <c r="A11" s="29" t="s">
        <v>33</v>
      </c>
      <c r="B11" s="29">
        <v>6</v>
      </c>
      <c r="C11">
        <f t="shared" si="0"/>
        <v>2</v>
      </c>
      <c r="D11">
        <f t="shared" si="1"/>
        <v>6</v>
      </c>
      <c r="E11">
        <f t="shared" si="2"/>
        <v>-1</v>
      </c>
      <c r="F11">
        <f t="shared" si="3"/>
        <v>0</v>
      </c>
      <c r="G11">
        <f t="shared" si="4"/>
        <v>0</v>
      </c>
      <c r="J11" s="29" t="s">
        <v>3</v>
      </c>
      <c r="K11" s="29">
        <v>5</v>
      </c>
      <c r="L11" s="29" t="s">
        <v>33</v>
      </c>
      <c r="M11" s="29">
        <v>7</v>
      </c>
      <c r="N11" s="29" t="s">
        <v>3</v>
      </c>
      <c r="O11" s="29">
        <v>6</v>
      </c>
      <c r="P11" s="29" t="s">
        <v>3</v>
      </c>
      <c r="Q11" s="29">
        <v>6</v>
      </c>
      <c r="R11" s="29" t="s">
        <v>3</v>
      </c>
      <c r="S11" s="29">
        <v>6</v>
      </c>
      <c r="T11" s="29" t="s">
        <v>33</v>
      </c>
      <c r="U11" s="29">
        <v>6</v>
      </c>
      <c r="V11" s="29" t="s">
        <v>3</v>
      </c>
      <c r="W11" s="29">
        <v>6</v>
      </c>
      <c r="X11" s="29" t="s">
        <v>33</v>
      </c>
      <c r="Y11" s="29">
        <v>6</v>
      </c>
      <c r="Z11" s="29" t="s">
        <v>3</v>
      </c>
      <c r="AA11" s="29">
        <v>6</v>
      </c>
      <c r="AB11" s="29" t="s">
        <v>3</v>
      </c>
      <c r="AC11" s="29">
        <v>6</v>
      </c>
      <c r="AD11" s="29" t="s">
        <v>3</v>
      </c>
      <c r="AE11" s="29">
        <v>7</v>
      </c>
      <c r="AF11" s="29" t="s">
        <v>3</v>
      </c>
      <c r="AG11" s="29">
        <v>6</v>
      </c>
      <c r="AH11" s="29" t="s">
        <v>3</v>
      </c>
      <c r="AI11" s="29">
        <v>5</v>
      </c>
      <c r="AJ11" s="29" t="s">
        <v>3</v>
      </c>
      <c r="AK11" s="29">
        <v>7</v>
      </c>
      <c r="AL11" s="29" t="s">
        <v>3</v>
      </c>
      <c r="AM11" s="29">
        <v>5</v>
      </c>
      <c r="AN11" s="29" t="s">
        <v>3</v>
      </c>
      <c r="AO11" s="29">
        <v>5</v>
      </c>
      <c r="AP11" s="29" t="s">
        <v>3</v>
      </c>
      <c r="AQ11" s="29">
        <v>5</v>
      </c>
      <c r="AR11" s="29" t="s">
        <v>3</v>
      </c>
      <c r="AS11" s="29">
        <v>6</v>
      </c>
      <c r="AT11" s="29" t="s">
        <v>3</v>
      </c>
      <c r="AU11" s="29">
        <v>6</v>
      </c>
      <c r="AV11" s="29" t="s">
        <v>3</v>
      </c>
      <c r="AW11" s="29">
        <v>7</v>
      </c>
      <c r="AX11" s="29" t="s">
        <v>3</v>
      </c>
      <c r="AY11" s="29">
        <v>7</v>
      </c>
      <c r="AZ11" s="29" t="s">
        <v>33</v>
      </c>
      <c r="BA11" s="29">
        <v>6</v>
      </c>
      <c r="BB11" s="29" t="s">
        <v>3</v>
      </c>
      <c r="BC11" s="29">
        <v>7</v>
      </c>
      <c r="BD11" s="29" t="s">
        <v>3</v>
      </c>
      <c r="BE11" s="29">
        <v>5</v>
      </c>
      <c r="BF11" s="29" t="s">
        <v>3</v>
      </c>
      <c r="BG11" s="29">
        <v>6</v>
      </c>
      <c r="BH11" s="29" t="s">
        <v>33</v>
      </c>
      <c r="BI11" s="29">
        <v>5</v>
      </c>
      <c r="BJ11" s="29" t="s">
        <v>3</v>
      </c>
      <c r="BK11" s="29">
        <v>5</v>
      </c>
    </row>
    <row r="12" spans="1:63" x14ac:dyDescent="0.25">
      <c r="A12" s="1"/>
    </row>
    <row r="13" spans="1:63" x14ac:dyDescent="0.25">
      <c r="A13" s="33" t="s">
        <v>93</v>
      </c>
      <c r="B13" s="28"/>
      <c r="F13">
        <f ca="1">SUM(OFFSET(F14,,,8/nbrCell))</f>
        <v>4</v>
      </c>
      <c r="G13">
        <f ca="1">SUM(OFFSET(G14,,,8/nbrCell))</f>
        <v>2</v>
      </c>
    </row>
    <row r="14" spans="1:63" x14ac:dyDescent="0.25">
      <c r="A14" s="29" t="s">
        <v>0</v>
      </c>
      <c r="B14" s="29">
        <v>6</v>
      </c>
      <c r="C14">
        <f t="shared" ref="C14:C21" si="5">VLOOKUP(A14,result,2)</f>
        <v>2</v>
      </c>
      <c r="D14">
        <f t="shared" ref="D14:D21" si="6">VLOOKUP(A14,resTot,5)</f>
        <v>6</v>
      </c>
      <c r="E14">
        <f t="shared" ref="E14:E21" si="7">IF(ISNA(VLOOKUP(A14,resTot,6)),0,VLOOKUP(A14,resTot,6))</f>
        <v>-1</v>
      </c>
      <c r="F14">
        <f t="shared" ref="F14:F21" si="8">IF(E14&lt;0,0,    IF(AND(E14&gt;0,B14=D14 ),pointsSerie+pointsPoints,  IF(E14&gt;0,pointsSerie,0)  )  )</f>
        <v>0</v>
      </c>
      <c r="G14">
        <f t="shared" ref="G14:G21" si="9">IF(E14=0,   IF(B14-D14 &gt;= 4 -C14, pointsSerie+pointsPoints,    IF(7-D14 &gt;= 4 -C14, pointsSerie, 0)  ),    0  )</f>
        <v>0</v>
      </c>
    </row>
    <row r="15" spans="1:63" x14ac:dyDescent="0.25">
      <c r="A15" s="29" t="s">
        <v>1</v>
      </c>
      <c r="B15" s="29">
        <v>6</v>
      </c>
      <c r="C15">
        <f t="shared" si="5"/>
        <v>3</v>
      </c>
      <c r="D15">
        <f t="shared" si="6"/>
        <v>6</v>
      </c>
      <c r="E15">
        <f t="shared" si="7"/>
        <v>0</v>
      </c>
      <c r="F15">
        <f t="shared" si="8"/>
        <v>0</v>
      </c>
      <c r="G15">
        <f t="shared" si="9"/>
        <v>2</v>
      </c>
    </row>
    <row r="16" spans="1:63" x14ac:dyDescent="0.25">
      <c r="A16" s="29" t="s">
        <v>2</v>
      </c>
      <c r="B16" s="29">
        <v>5</v>
      </c>
      <c r="C16">
        <f t="shared" si="5"/>
        <v>4</v>
      </c>
      <c r="D16">
        <f t="shared" si="6"/>
        <v>4</v>
      </c>
      <c r="E16">
        <f t="shared" si="7"/>
        <v>1</v>
      </c>
      <c r="F16">
        <f t="shared" si="8"/>
        <v>2</v>
      </c>
      <c r="G16">
        <f t="shared" si="9"/>
        <v>0</v>
      </c>
    </row>
    <row r="17" spans="1:48" x14ac:dyDescent="0.25">
      <c r="A17" s="29" t="s">
        <v>36</v>
      </c>
      <c r="B17" s="29">
        <v>5</v>
      </c>
      <c r="C17">
        <f t="shared" si="5"/>
        <v>2</v>
      </c>
      <c r="D17">
        <f t="shared" si="6"/>
        <v>6</v>
      </c>
      <c r="E17">
        <f t="shared" si="7"/>
        <v>-1</v>
      </c>
      <c r="F17">
        <f t="shared" si="8"/>
        <v>0</v>
      </c>
      <c r="G17">
        <f t="shared" si="9"/>
        <v>0</v>
      </c>
    </row>
    <row r="18" spans="1:48" x14ac:dyDescent="0.25">
      <c r="A18" s="29" t="s">
        <v>29</v>
      </c>
      <c r="B18" s="29">
        <v>7</v>
      </c>
      <c r="C18">
        <f t="shared" si="5"/>
        <v>0</v>
      </c>
      <c r="D18">
        <f t="shared" si="6"/>
        <v>4</v>
      </c>
      <c r="E18">
        <f t="shared" si="7"/>
        <v>-1</v>
      </c>
      <c r="F18">
        <f t="shared" si="8"/>
        <v>0</v>
      </c>
      <c r="G18">
        <f t="shared" si="9"/>
        <v>0</v>
      </c>
    </row>
    <row r="19" spans="1:48" x14ac:dyDescent="0.25">
      <c r="A19" s="29" t="s">
        <v>7</v>
      </c>
      <c r="B19" s="29">
        <v>6</v>
      </c>
      <c r="C19">
        <f t="shared" si="5"/>
        <v>2</v>
      </c>
      <c r="D19">
        <f t="shared" si="6"/>
        <v>6</v>
      </c>
      <c r="E19">
        <f t="shared" si="7"/>
        <v>-1</v>
      </c>
      <c r="F19">
        <f t="shared" si="8"/>
        <v>0</v>
      </c>
      <c r="G19">
        <f t="shared" si="9"/>
        <v>0</v>
      </c>
    </row>
    <row r="20" spans="1:48" x14ac:dyDescent="0.25">
      <c r="A20" s="29" t="s">
        <v>4</v>
      </c>
      <c r="B20" s="29">
        <v>4</v>
      </c>
      <c r="C20">
        <f t="shared" si="5"/>
        <v>2</v>
      </c>
      <c r="D20">
        <f t="shared" si="6"/>
        <v>6</v>
      </c>
      <c r="E20">
        <f t="shared" si="7"/>
        <v>-1</v>
      </c>
      <c r="F20">
        <f t="shared" si="8"/>
        <v>0</v>
      </c>
      <c r="G20">
        <f t="shared" si="9"/>
        <v>0</v>
      </c>
    </row>
    <row r="21" spans="1:48" x14ac:dyDescent="0.25">
      <c r="A21" s="29" t="s">
        <v>3</v>
      </c>
      <c r="B21" s="29">
        <v>5</v>
      </c>
      <c r="C21">
        <f t="shared" si="5"/>
        <v>4</v>
      </c>
      <c r="D21">
        <f t="shared" si="6"/>
        <v>6</v>
      </c>
      <c r="E21">
        <f t="shared" si="7"/>
        <v>1</v>
      </c>
      <c r="F21">
        <f t="shared" si="8"/>
        <v>2</v>
      </c>
      <c r="G21">
        <f t="shared" si="9"/>
        <v>0</v>
      </c>
    </row>
    <row r="22" spans="1:48" x14ac:dyDescent="0.25">
      <c r="A22" s="1"/>
    </row>
    <row r="23" spans="1:48" x14ac:dyDescent="0.25">
      <c r="A23" s="33" t="s">
        <v>92</v>
      </c>
      <c r="B23" s="29"/>
      <c r="F23">
        <f ca="1">SUM(OFFSET(F24,,,8/nbrCell))</f>
        <v>8</v>
      </c>
      <c r="G23">
        <f ca="1">SUM(OFFSET(G24,,,8/nbrCell))</f>
        <v>2</v>
      </c>
      <c r="J23" s="33"/>
    </row>
    <row r="24" spans="1:48" x14ac:dyDescent="0.25">
      <c r="A24" s="29" t="s">
        <v>0</v>
      </c>
      <c r="B24" s="29">
        <v>5</v>
      </c>
      <c r="C24">
        <f t="shared" ref="C24:C31" si="10">VLOOKUP(A24,result,2)</f>
        <v>2</v>
      </c>
      <c r="D24">
        <f t="shared" ref="D24:D31" si="11">VLOOKUP(A24,resTot,5)</f>
        <v>6</v>
      </c>
      <c r="E24">
        <f t="shared" ref="E24:E31" si="12">IF(ISNA(VLOOKUP(A24,resTot,6)),0,VLOOKUP(A24,resTot,6))</f>
        <v>-1</v>
      </c>
      <c r="F24">
        <f t="shared" ref="F24:F31" si="13">IF(E24&lt;0,0,    IF(AND(E24&gt;0,B24=D24 ),pointsSerie+pointsPoints,  IF(E24&gt;0,pointsSerie,0)  )  )</f>
        <v>0</v>
      </c>
      <c r="G24">
        <f t="shared" ref="G24:G31" si="14">IF(E24=0,   IF(B24-D24 &gt;= 4 -C24, pointsSerie+pointsPoints,    IF(7-D24 &gt;= 4 -C24, pointsSerie, 0)  ),    0  )</f>
        <v>0</v>
      </c>
      <c r="I24" s="28"/>
      <c r="J24" s="33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</row>
    <row r="25" spans="1:48" x14ac:dyDescent="0.25">
      <c r="A25" s="29" t="s">
        <v>31</v>
      </c>
      <c r="B25" s="29">
        <v>6</v>
      </c>
      <c r="C25">
        <f t="shared" si="10"/>
        <v>3</v>
      </c>
      <c r="D25">
        <f t="shared" si="11"/>
        <v>6</v>
      </c>
      <c r="E25">
        <f t="shared" si="12"/>
        <v>0</v>
      </c>
      <c r="F25">
        <f t="shared" si="13"/>
        <v>0</v>
      </c>
      <c r="G25">
        <f t="shared" si="14"/>
        <v>2</v>
      </c>
      <c r="I25" s="29"/>
      <c r="J25" s="33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</row>
    <row r="26" spans="1:48" x14ac:dyDescent="0.25">
      <c r="A26" s="29" t="s">
        <v>2</v>
      </c>
      <c r="B26" s="29">
        <v>5</v>
      </c>
      <c r="C26">
        <f t="shared" si="10"/>
        <v>4</v>
      </c>
      <c r="D26">
        <f t="shared" si="11"/>
        <v>4</v>
      </c>
      <c r="E26">
        <f t="shared" si="12"/>
        <v>1</v>
      </c>
      <c r="F26">
        <f t="shared" si="13"/>
        <v>2</v>
      </c>
      <c r="G26">
        <f t="shared" si="14"/>
        <v>0</v>
      </c>
      <c r="I26" s="29"/>
      <c r="J26" s="33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</row>
    <row r="27" spans="1:48" x14ac:dyDescent="0.25">
      <c r="A27" s="29" t="s">
        <v>36</v>
      </c>
      <c r="B27" s="29">
        <v>6</v>
      </c>
      <c r="C27">
        <f t="shared" si="10"/>
        <v>2</v>
      </c>
      <c r="D27">
        <f t="shared" si="11"/>
        <v>6</v>
      </c>
      <c r="E27">
        <f t="shared" si="12"/>
        <v>-1</v>
      </c>
      <c r="F27">
        <f t="shared" si="13"/>
        <v>0</v>
      </c>
      <c r="G27">
        <f t="shared" si="14"/>
        <v>0</v>
      </c>
      <c r="I27" s="29"/>
      <c r="J27" s="33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</row>
    <row r="28" spans="1:48" x14ac:dyDescent="0.25">
      <c r="A28" s="29" t="s">
        <v>5</v>
      </c>
      <c r="B28" s="29">
        <v>7</v>
      </c>
      <c r="C28">
        <f t="shared" si="10"/>
        <v>4</v>
      </c>
      <c r="D28">
        <f t="shared" si="11"/>
        <v>4</v>
      </c>
      <c r="E28">
        <f t="shared" si="12"/>
        <v>1</v>
      </c>
      <c r="F28">
        <f t="shared" si="13"/>
        <v>2</v>
      </c>
      <c r="G28">
        <f t="shared" si="14"/>
        <v>0</v>
      </c>
      <c r="I28" s="29"/>
      <c r="J28" s="33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</row>
    <row r="29" spans="1:48" x14ac:dyDescent="0.25">
      <c r="A29" s="29" t="s">
        <v>7</v>
      </c>
      <c r="B29" s="29">
        <v>7</v>
      </c>
      <c r="C29">
        <f t="shared" si="10"/>
        <v>2</v>
      </c>
      <c r="D29">
        <f t="shared" si="11"/>
        <v>6</v>
      </c>
      <c r="E29">
        <f t="shared" si="12"/>
        <v>-1</v>
      </c>
      <c r="F29">
        <f t="shared" si="13"/>
        <v>0</v>
      </c>
      <c r="G29">
        <f t="shared" si="14"/>
        <v>0</v>
      </c>
      <c r="I29" s="29"/>
      <c r="J29" s="33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</row>
    <row r="30" spans="1:48" x14ac:dyDescent="0.25">
      <c r="A30" s="29" t="s">
        <v>34</v>
      </c>
      <c r="B30" s="29">
        <v>4</v>
      </c>
      <c r="C30">
        <f t="shared" si="10"/>
        <v>4</v>
      </c>
      <c r="D30">
        <f t="shared" si="11"/>
        <v>6</v>
      </c>
      <c r="E30">
        <f t="shared" si="12"/>
        <v>1</v>
      </c>
      <c r="F30">
        <f t="shared" si="13"/>
        <v>2</v>
      </c>
      <c r="G30">
        <f t="shared" si="14"/>
        <v>0</v>
      </c>
      <c r="I30" s="29"/>
      <c r="J30" s="33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</row>
    <row r="31" spans="1:48" x14ac:dyDescent="0.25">
      <c r="A31" s="29" t="s">
        <v>3</v>
      </c>
      <c r="B31" s="29">
        <v>7</v>
      </c>
      <c r="C31">
        <f t="shared" si="10"/>
        <v>4</v>
      </c>
      <c r="D31">
        <f t="shared" si="11"/>
        <v>6</v>
      </c>
      <c r="E31">
        <f t="shared" si="12"/>
        <v>1</v>
      </c>
      <c r="F31">
        <f t="shared" si="13"/>
        <v>2</v>
      </c>
      <c r="G31">
        <f t="shared" si="14"/>
        <v>0</v>
      </c>
      <c r="I31" s="29"/>
      <c r="J31" s="33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</row>
    <row r="32" spans="1:48" x14ac:dyDescent="0.25">
      <c r="A32" s="1"/>
      <c r="I32" s="29"/>
      <c r="J32" s="33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</row>
    <row r="33" spans="1:10" x14ac:dyDescent="0.25">
      <c r="A33" s="33" t="s">
        <v>69</v>
      </c>
      <c r="B33" s="29"/>
      <c r="F33">
        <f ca="1">SUM(OFFSET(F34,,,8/nbrCell))</f>
        <v>7</v>
      </c>
      <c r="G33">
        <f ca="1">SUM(OFFSET(G34,,,8/nbrCell))</f>
        <v>3</v>
      </c>
      <c r="J33" s="33"/>
    </row>
    <row r="34" spans="1:10" x14ac:dyDescent="0.25">
      <c r="A34" s="29" t="s">
        <v>0</v>
      </c>
      <c r="B34" s="29">
        <v>5</v>
      </c>
      <c r="C34">
        <f t="shared" ref="C34:C41" si="15">VLOOKUP(A34,result,2)</f>
        <v>2</v>
      </c>
      <c r="D34">
        <f t="shared" ref="D34:D41" si="16">VLOOKUP(A34,resTot,5)</f>
        <v>6</v>
      </c>
      <c r="E34">
        <f t="shared" ref="E34:E41" si="17">IF(ISNA(VLOOKUP(A34,resTot,6)),0,VLOOKUP(A34,resTot,6))</f>
        <v>-1</v>
      </c>
      <c r="F34">
        <f t="shared" ref="F34:F41" si="18">IF(E34&lt;0,0,    IF(AND(E34&gt;0,B34=D34 ),pointsSerie+pointsPoints,  IF(E34&gt;0,pointsSerie,0)  )  )</f>
        <v>0</v>
      </c>
      <c r="G34">
        <f t="shared" ref="G34:G41" si="19">IF(E34=0,   IF(B34-D34 &gt;= 4 -C34, pointsSerie+pointsPoints,    IF(7-D34 &gt;= 4 -C34, pointsSerie, 0)  ),    0  )</f>
        <v>0</v>
      </c>
      <c r="J34" s="33"/>
    </row>
    <row r="35" spans="1:10" x14ac:dyDescent="0.25">
      <c r="A35" s="29" t="s">
        <v>31</v>
      </c>
      <c r="B35" s="29">
        <v>7</v>
      </c>
      <c r="C35">
        <f t="shared" si="15"/>
        <v>3</v>
      </c>
      <c r="D35">
        <f t="shared" si="16"/>
        <v>6</v>
      </c>
      <c r="E35">
        <f t="shared" si="17"/>
        <v>0</v>
      </c>
      <c r="F35">
        <f t="shared" si="18"/>
        <v>0</v>
      </c>
      <c r="G35">
        <f t="shared" si="19"/>
        <v>3</v>
      </c>
      <c r="J35" s="33"/>
    </row>
    <row r="36" spans="1:10" x14ac:dyDescent="0.25">
      <c r="A36" s="29" t="s">
        <v>2</v>
      </c>
      <c r="B36" s="29">
        <v>5</v>
      </c>
      <c r="C36">
        <f t="shared" si="15"/>
        <v>4</v>
      </c>
      <c r="D36">
        <f t="shared" si="16"/>
        <v>4</v>
      </c>
      <c r="E36">
        <f t="shared" si="17"/>
        <v>1</v>
      </c>
      <c r="F36">
        <f t="shared" si="18"/>
        <v>2</v>
      </c>
      <c r="G36">
        <f t="shared" si="19"/>
        <v>0</v>
      </c>
      <c r="J36" s="33"/>
    </row>
    <row r="37" spans="1:10" x14ac:dyDescent="0.25">
      <c r="A37" s="29" t="s">
        <v>36</v>
      </c>
      <c r="B37" s="29">
        <v>7</v>
      </c>
      <c r="C37">
        <f t="shared" si="15"/>
        <v>2</v>
      </c>
      <c r="D37">
        <f t="shared" si="16"/>
        <v>6</v>
      </c>
      <c r="E37">
        <f t="shared" si="17"/>
        <v>-1</v>
      </c>
      <c r="F37">
        <f t="shared" si="18"/>
        <v>0</v>
      </c>
      <c r="G37">
        <f t="shared" si="19"/>
        <v>0</v>
      </c>
      <c r="J37" s="33"/>
    </row>
    <row r="38" spans="1:10" x14ac:dyDescent="0.25">
      <c r="A38" s="29" t="s">
        <v>5</v>
      </c>
      <c r="B38" s="29">
        <v>5</v>
      </c>
      <c r="C38">
        <f t="shared" si="15"/>
        <v>4</v>
      </c>
      <c r="D38">
        <f t="shared" si="16"/>
        <v>4</v>
      </c>
      <c r="E38">
        <f t="shared" si="17"/>
        <v>1</v>
      </c>
      <c r="F38">
        <f t="shared" si="18"/>
        <v>2</v>
      </c>
      <c r="G38">
        <f t="shared" si="19"/>
        <v>0</v>
      </c>
      <c r="J38" s="33"/>
    </row>
    <row r="39" spans="1:10" x14ac:dyDescent="0.25">
      <c r="A39" s="29" t="s">
        <v>7</v>
      </c>
      <c r="B39" s="29">
        <v>6</v>
      </c>
      <c r="C39">
        <f t="shared" si="15"/>
        <v>2</v>
      </c>
      <c r="D39">
        <f t="shared" si="16"/>
        <v>6</v>
      </c>
      <c r="E39">
        <f t="shared" si="17"/>
        <v>-1</v>
      </c>
      <c r="F39">
        <f t="shared" si="18"/>
        <v>0</v>
      </c>
      <c r="G39">
        <f t="shared" si="19"/>
        <v>0</v>
      </c>
      <c r="J39" s="33"/>
    </row>
    <row r="40" spans="1:10" x14ac:dyDescent="0.25">
      <c r="A40" s="29" t="s">
        <v>4</v>
      </c>
      <c r="B40" s="29">
        <v>6</v>
      </c>
      <c r="C40">
        <f t="shared" si="15"/>
        <v>2</v>
      </c>
      <c r="D40">
        <f t="shared" si="16"/>
        <v>6</v>
      </c>
      <c r="E40">
        <f t="shared" si="17"/>
        <v>-1</v>
      </c>
      <c r="F40">
        <f t="shared" si="18"/>
        <v>0</v>
      </c>
      <c r="G40">
        <f t="shared" si="19"/>
        <v>0</v>
      </c>
      <c r="J40" s="33"/>
    </row>
    <row r="41" spans="1:10" x14ac:dyDescent="0.25">
      <c r="A41" s="29" t="s">
        <v>3</v>
      </c>
      <c r="B41" s="29">
        <v>6</v>
      </c>
      <c r="C41">
        <f t="shared" si="15"/>
        <v>4</v>
      </c>
      <c r="D41">
        <f t="shared" si="16"/>
        <v>6</v>
      </c>
      <c r="E41">
        <f t="shared" si="17"/>
        <v>1</v>
      </c>
      <c r="F41">
        <f t="shared" si="18"/>
        <v>3</v>
      </c>
      <c r="G41">
        <f t="shared" si="19"/>
        <v>0</v>
      </c>
      <c r="J41" s="33"/>
    </row>
    <row r="42" spans="1:10" x14ac:dyDescent="0.25">
      <c r="A42" s="1"/>
      <c r="J42" s="33"/>
    </row>
    <row r="43" spans="1:10" x14ac:dyDescent="0.25">
      <c r="A43" s="33" t="s">
        <v>66</v>
      </c>
      <c r="B43" s="29"/>
      <c r="F43">
        <f ca="1">SUM(OFFSET(F44,,,8/nbrCell))</f>
        <v>8</v>
      </c>
      <c r="G43">
        <f ca="1">SUM(OFFSET(G44,,,8/nbrCell))</f>
        <v>3</v>
      </c>
      <c r="J43" s="33"/>
    </row>
    <row r="44" spans="1:10" x14ac:dyDescent="0.25">
      <c r="A44" s="29" t="s">
        <v>35</v>
      </c>
      <c r="B44" s="29">
        <v>6</v>
      </c>
      <c r="C44">
        <f t="shared" ref="C44:C51" si="20">VLOOKUP(A44,result,2)</f>
        <v>4</v>
      </c>
      <c r="D44">
        <f t="shared" ref="D44:D51" si="21">VLOOKUP(A44,resTot,5)</f>
        <v>6</v>
      </c>
      <c r="E44">
        <f t="shared" ref="E44:E51" si="22">IF(ISNA(VLOOKUP(A44,resTot,6)),0,VLOOKUP(A44,resTot,6))</f>
        <v>1</v>
      </c>
      <c r="F44">
        <f t="shared" ref="F44:F51" si="23">IF(E44&lt;0,0,    IF(AND(E44&gt;0,B44=D44 ),pointsSerie+pointsPoints,  IF(E44&gt;0,pointsSerie,0)  )  )</f>
        <v>3</v>
      </c>
      <c r="G44">
        <f t="shared" ref="G44:G51" si="24">IF(E44=0,   IF(B44-D44 &gt;= 4 -C44, pointsSerie+pointsPoints,    IF(7-D44 &gt;= 4 -C44, pointsSerie, 0)  ),    0  )</f>
        <v>0</v>
      </c>
      <c r="J44" s="33"/>
    </row>
    <row r="45" spans="1:10" x14ac:dyDescent="0.25">
      <c r="A45" s="29" t="s">
        <v>1</v>
      </c>
      <c r="B45" s="29">
        <v>7</v>
      </c>
      <c r="C45">
        <f t="shared" si="20"/>
        <v>3</v>
      </c>
      <c r="D45">
        <f t="shared" si="21"/>
        <v>6</v>
      </c>
      <c r="E45">
        <f t="shared" si="22"/>
        <v>0</v>
      </c>
      <c r="F45">
        <f t="shared" si="23"/>
        <v>0</v>
      </c>
      <c r="G45">
        <f t="shared" si="24"/>
        <v>3</v>
      </c>
      <c r="J45" s="33"/>
    </row>
    <row r="46" spans="1:10" x14ac:dyDescent="0.25">
      <c r="A46" s="29" t="s">
        <v>30</v>
      </c>
      <c r="B46" s="29">
        <v>6</v>
      </c>
      <c r="C46">
        <f t="shared" si="20"/>
        <v>0</v>
      </c>
      <c r="D46">
        <f t="shared" si="21"/>
        <v>4</v>
      </c>
      <c r="E46">
        <f t="shared" si="22"/>
        <v>-1</v>
      </c>
      <c r="F46">
        <f t="shared" si="23"/>
        <v>0</v>
      </c>
      <c r="G46">
        <f t="shared" si="24"/>
        <v>0</v>
      </c>
      <c r="J46" s="33"/>
    </row>
    <row r="47" spans="1:10" x14ac:dyDescent="0.25">
      <c r="A47" s="29" t="s">
        <v>37</v>
      </c>
      <c r="B47" s="29">
        <v>6</v>
      </c>
      <c r="C47">
        <f t="shared" si="20"/>
        <v>4</v>
      </c>
      <c r="D47">
        <f t="shared" si="21"/>
        <v>6</v>
      </c>
      <c r="E47">
        <f t="shared" si="22"/>
        <v>1</v>
      </c>
      <c r="F47">
        <f t="shared" si="23"/>
        <v>3</v>
      </c>
      <c r="G47">
        <f t="shared" si="24"/>
        <v>0</v>
      </c>
      <c r="J47" s="33"/>
    </row>
    <row r="48" spans="1:10" x14ac:dyDescent="0.25">
      <c r="A48" s="29" t="s">
        <v>5</v>
      </c>
      <c r="B48" s="29">
        <v>5</v>
      </c>
      <c r="C48">
        <f t="shared" si="20"/>
        <v>4</v>
      </c>
      <c r="D48">
        <f t="shared" si="21"/>
        <v>4</v>
      </c>
      <c r="E48">
        <f t="shared" si="22"/>
        <v>1</v>
      </c>
      <c r="F48">
        <f t="shared" si="23"/>
        <v>2</v>
      </c>
      <c r="G48">
        <f t="shared" si="24"/>
        <v>0</v>
      </c>
      <c r="J48" s="33"/>
    </row>
    <row r="49" spans="1:10" x14ac:dyDescent="0.25">
      <c r="A49" s="29" t="s">
        <v>7</v>
      </c>
      <c r="B49" s="29">
        <v>6</v>
      </c>
      <c r="C49">
        <f t="shared" si="20"/>
        <v>2</v>
      </c>
      <c r="D49">
        <f t="shared" si="21"/>
        <v>6</v>
      </c>
      <c r="E49">
        <f t="shared" si="22"/>
        <v>-1</v>
      </c>
      <c r="F49">
        <f t="shared" si="23"/>
        <v>0</v>
      </c>
      <c r="G49">
        <f t="shared" si="24"/>
        <v>0</v>
      </c>
      <c r="J49" s="33"/>
    </row>
    <row r="50" spans="1:10" x14ac:dyDescent="0.25">
      <c r="A50" s="29" t="s">
        <v>4</v>
      </c>
      <c r="B50" s="29">
        <v>6</v>
      </c>
      <c r="C50">
        <f t="shared" si="20"/>
        <v>2</v>
      </c>
      <c r="D50">
        <f t="shared" si="21"/>
        <v>6</v>
      </c>
      <c r="E50">
        <f t="shared" si="22"/>
        <v>-1</v>
      </c>
      <c r="F50">
        <f t="shared" si="23"/>
        <v>0</v>
      </c>
      <c r="G50">
        <f t="shared" si="24"/>
        <v>0</v>
      </c>
      <c r="J50" s="33"/>
    </row>
    <row r="51" spans="1:10" x14ac:dyDescent="0.25">
      <c r="A51" s="29" t="s">
        <v>33</v>
      </c>
      <c r="B51" s="29">
        <v>6</v>
      </c>
      <c r="C51">
        <f t="shared" si="20"/>
        <v>2</v>
      </c>
      <c r="D51">
        <f t="shared" si="21"/>
        <v>6</v>
      </c>
      <c r="E51">
        <f t="shared" si="22"/>
        <v>-1</v>
      </c>
      <c r="F51">
        <f t="shared" si="23"/>
        <v>0</v>
      </c>
      <c r="G51">
        <f t="shared" si="24"/>
        <v>0</v>
      </c>
      <c r="J51" s="33"/>
    </row>
    <row r="52" spans="1:10" x14ac:dyDescent="0.25">
      <c r="A52" s="1"/>
      <c r="J52" s="33"/>
    </row>
    <row r="53" spans="1:10" x14ac:dyDescent="0.25">
      <c r="A53" s="33" t="s">
        <v>90</v>
      </c>
      <c r="B53" s="29"/>
      <c r="F53">
        <f ca="1">SUM(OFFSET(F54,,,8/nbrCell))</f>
        <v>8</v>
      </c>
      <c r="G53">
        <f ca="1">SUM(OFFSET(G54,,,8/nbrCell))</f>
        <v>3</v>
      </c>
      <c r="J53" s="33"/>
    </row>
    <row r="54" spans="1:10" x14ac:dyDescent="0.25">
      <c r="A54" s="29" t="s">
        <v>35</v>
      </c>
      <c r="B54" s="29">
        <v>6</v>
      </c>
      <c r="C54">
        <f t="shared" ref="C54:C61" si="25">VLOOKUP(A54,result,2)</f>
        <v>4</v>
      </c>
      <c r="D54">
        <f t="shared" ref="D54:D61" si="26">VLOOKUP(A54,resTot,5)</f>
        <v>6</v>
      </c>
      <c r="E54">
        <f t="shared" ref="E54:E61" si="27">IF(ISNA(VLOOKUP(A54,resTot,6)),0,VLOOKUP(A54,resTot,6))</f>
        <v>1</v>
      </c>
      <c r="F54">
        <f t="shared" ref="F54:F61" si="28">IF(E54&lt;0,0,    IF(AND(E54&gt;0,B54=D54 ),pointsSerie+pointsPoints,  IF(E54&gt;0,pointsSerie,0)  )  )</f>
        <v>3</v>
      </c>
      <c r="G54">
        <f t="shared" ref="G54:G61" si="29">IF(E54=0,   IF(B54-D54 &gt;= 4 -C54, pointsSerie+pointsPoints,    IF(7-D54 &gt;= 4 -C54, pointsSerie, 0)  ),    0  )</f>
        <v>0</v>
      </c>
      <c r="J54" s="33"/>
    </row>
    <row r="55" spans="1:10" x14ac:dyDescent="0.25">
      <c r="A55" s="29" t="s">
        <v>1</v>
      </c>
      <c r="B55" s="29">
        <v>7</v>
      </c>
      <c r="C55">
        <f t="shared" si="25"/>
        <v>3</v>
      </c>
      <c r="D55">
        <f t="shared" si="26"/>
        <v>6</v>
      </c>
      <c r="E55">
        <f t="shared" si="27"/>
        <v>0</v>
      </c>
      <c r="F55">
        <f t="shared" si="28"/>
        <v>0</v>
      </c>
      <c r="G55">
        <f t="shared" si="29"/>
        <v>3</v>
      </c>
      <c r="J55" s="33"/>
    </row>
    <row r="56" spans="1:10" x14ac:dyDescent="0.25">
      <c r="A56" s="29" t="s">
        <v>30</v>
      </c>
      <c r="B56" s="29">
        <v>7</v>
      </c>
      <c r="C56">
        <f t="shared" si="25"/>
        <v>0</v>
      </c>
      <c r="D56">
        <f t="shared" si="26"/>
        <v>4</v>
      </c>
      <c r="E56">
        <f t="shared" si="27"/>
        <v>-1</v>
      </c>
      <c r="F56">
        <f t="shared" si="28"/>
        <v>0</v>
      </c>
      <c r="G56">
        <f t="shared" si="29"/>
        <v>0</v>
      </c>
      <c r="J56" s="33"/>
    </row>
    <row r="57" spans="1:10" x14ac:dyDescent="0.25">
      <c r="A57" s="29" t="s">
        <v>36</v>
      </c>
      <c r="B57" s="29">
        <v>5</v>
      </c>
      <c r="C57">
        <f t="shared" si="25"/>
        <v>2</v>
      </c>
      <c r="D57">
        <f t="shared" si="26"/>
        <v>6</v>
      </c>
      <c r="E57">
        <f t="shared" si="27"/>
        <v>-1</v>
      </c>
      <c r="F57">
        <f t="shared" si="28"/>
        <v>0</v>
      </c>
      <c r="G57">
        <f t="shared" si="29"/>
        <v>0</v>
      </c>
      <c r="J57" s="33"/>
    </row>
    <row r="58" spans="1:10" x14ac:dyDescent="0.25">
      <c r="A58" s="29" t="s">
        <v>5</v>
      </c>
      <c r="B58" s="29">
        <v>4</v>
      </c>
      <c r="C58">
        <f t="shared" si="25"/>
        <v>4</v>
      </c>
      <c r="D58">
        <f t="shared" si="26"/>
        <v>4</v>
      </c>
      <c r="E58">
        <f t="shared" si="27"/>
        <v>1</v>
      </c>
      <c r="F58">
        <f t="shared" si="28"/>
        <v>3</v>
      </c>
      <c r="G58">
        <f t="shared" si="29"/>
        <v>0</v>
      </c>
      <c r="J58" s="33"/>
    </row>
    <row r="59" spans="1:10" x14ac:dyDescent="0.25">
      <c r="A59" s="29" t="s">
        <v>7</v>
      </c>
      <c r="B59" s="29">
        <v>7</v>
      </c>
      <c r="C59">
        <f t="shared" si="25"/>
        <v>2</v>
      </c>
      <c r="D59">
        <f t="shared" si="26"/>
        <v>6</v>
      </c>
      <c r="E59">
        <f t="shared" si="27"/>
        <v>-1</v>
      </c>
      <c r="F59">
        <f t="shared" si="28"/>
        <v>0</v>
      </c>
      <c r="G59">
        <f t="shared" si="29"/>
        <v>0</v>
      </c>
      <c r="J59" s="33"/>
    </row>
    <row r="60" spans="1:10" x14ac:dyDescent="0.25">
      <c r="A60" s="29" t="s">
        <v>4</v>
      </c>
      <c r="B60" s="29">
        <v>5</v>
      </c>
      <c r="C60">
        <f t="shared" si="25"/>
        <v>2</v>
      </c>
      <c r="D60">
        <f t="shared" si="26"/>
        <v>6</v>
      </c>
      <c r="E60">
        <f t="shared" si="27"/>
        <v>-1</v>
      </c>
      <c r="F60">
        <f t="shared" si="28"/>
        <v>0</v>
      </c>
      <c r="G60">
        <f t="shared" si="29"/>
        <v>0</v>
      </c>
      <c r="J60" s="33"/>
    </row>
    <row r="61" spans="1:10" x14ac:dyDescent="0.25">
      <c r="A61" s="29" t="s">
        <v>3</v>
      </c>
      <c r="B61" s="29">
        <v>7</v>
      </c>
      <c r="C61">
        <f t="shared" si="25"/>
        <v>4</v>
      </c>
      <c r="D61">
        <f t="shared" si="26"/>
        <v>6</v>
      </c>
      <c r="E61">
        <f t="shared" si="27"/>
        <v>1</v>
      </c>
      <c r="F61">
        <f t="shared" si="28"/>
        <v>2</v>
      </c>
      <c r="G61">
        <f t="shared" si="29"/>
        <v>0</v>
      </c>
      <c r="J61" s="33"/>
    </row>
    <row r="62" spans="1:10" x14ac:dyDescent="0.25">
      <c r="A62" s="1"/>
      <c r="J62" s="33"/>
    </row>
    <row r="63" spans="1:10" x14ac:dyDescent="0.25">
      <c r="A63" s="33" t="s">
        <v>77</v>
      </c>
      <c r="B63" s="29"/>
      <c r="F63">
        <f ca="1">SUM(OFFSET(F64,,,8/nbrCell))</f>
        <v>6</v>
      </c>
      <c r="G63">
        <f ca="1">SUM(OFFSET(G64,,,8/nbrCell))</f>
        <v>2</v>
      </c>
      <c r="J63" s="33"/>
    </row>
    <row r="64" spans="1:10" x14ac:dyDescent="0.25">
      <c r="A64" s="29" t="s">
        <v>0</v>
      </c>
      <c r="B64" s="29">
        <v>6</v>
      </c>
      <c r="C64">
        <f t="shared" ref="C64:C71" si="30">VLOOKUP(A64,result,2)</f>
        <v>2</v>
      </c>
      <c r="D64">
        <f t="shared" ref="D64:D71" si="31">VLOOKUP(A64,resTot,5)</f>
        <v>6</v>
      </c>
      <c r="E64">
        <f t="shared" ref="E64:E71" si="32">IF(ISNA(VLOOKUP(A64,resTot,6)),0,VLOOKUP(A64,resTot,6))</f>
        <v>-1</v>
      </c>
      <c r="F64">
        <f t="shared" ref="F64:F71" si="33">IF(E64&lt;0,0,    IF(AND(E64&gt;0,B64=D64 ),pointsSerie+pointsPoints,  IF(E64&gt;0,pointsSerie,0)  )  )</f>
        <v>0</v>
      </c>
      <c r="G64">
        <f t="shared" ref="G64:G71" si="34">IF(E64=0,   IF(B64-D64 &gt;= 4 -C64, pointsSerie+pointsPoints,    IF(7-D64 &gt;= 4 -C64, pointsSerie, 0)  ),    0  )</f>
        <v>0</v>
      </c>
      <c r="J64" s="33"/>
    </row>
    <row r="65" spans="1:10" x14ac:dyDescent="0.25">
      <c r="A65" s="29" t="s">
        <v>1</v>
      </c>
      <c r="B65" s="29">
        <v>6</v>
      </c>
      <c r="C65">
        <f t="shared" si="30"/>
        <v>3</v>
      </c>
      <c r="D65">
        <f t="shared" si="31"/>
        <v>6</v>
      </c>
      <c r="E65">
        <f t="shared" si="32"/>
        <v>0</v>
      </c>
      <c r="F65">
        <f t="shared" si="33"/>
        <v>0</v>
      </c>
      <c r="G65">
        <f t="shared" si="34"/>
        <v>2</v>
      </c>
      <c r="J65" s="33"/>
    </row>
    <row r="66" spans="1:10" x14ac:dyDescent="0.25">
      <c r="A66" s="29" t="s">
        <v>2</v>
      </c>
      <c r="B66" s="29">
        <v>5</v>
      </c>
      <c r="C66">
        <f t="shared" si="30"/>
        <v>4</v>
      </c>
      <c r="D66">
        <f t="shared" si="31"/>
        <v>4</v>
      </c>
      <c r="E66">
        <f t="shared" si="32"/>
        <v>1</v>
      </c>
      <c r="F66">
        <f t="shared" si="33"/>
        <v>2</v>
      </c>
      <c r="G66">
        <f t="shared" si="34"/>
        <v>0</v>
      </c>
      <c r="J66" s="33"/>
    </row>
    <row r="67" spans="1:10" x14ac:dyDescent="0.25">
      <c r="A67" s="29" t="s">
        <v>36</v>
      </c>
      <c r="B67" s="29">
        <v>6</v>
      </c>
      <c r="C67">
        <f t="shared" si="30"/>
        <v>2</v>
      </c>
      <c r="D67">
        <f t="shared" si="31"/>
        <v>6</v>
      </c>
      <c r="E67">
        <f t="shared" si="32"/>
        <v>-1</v>
      </c>
      <c r="F67">
        <f t="shared" si="33"/>
        <v>0</v>
      </c>
      <c r="G67">
        <f t="shared" si="34"/>
        <v>0</v>
      </c>
      <c r="J67" s="33"/>
    </row>
    <row r="68" spans="1:10" x14ac:dyDescent="0.25">
      <c r="A68" s="29" t="s">
        <v>5</v>
      </c>
      <c r="B68" s="29">
        <v>5</v>
      </c>
      <c r="C68">
        <f t="shared" si="30"/>
        <v>4</v>
      </c>
      <c r="D68">
        <f t="shared" si="31"/>
        <v>4</v>
      </c>
      <c r="E68">
        <f t="shared" si="32"/>
        <v>1</v>
      </c>
      <c r="F68">
        <f t="shared" si="33"/>
        <v>2</v>
      </c>
      <c r="G68">
        <f t="shared" si="34"/>
        <v>0</v>
      </c>
      <c r="J68" s="33"/>
    </row>
    <row r="69" spans="1:10" x14ac:dyDescent="0.25">
      <c r="A69" s="29" t="s">
        <v>7</v>
      </c>
      <c r="B69" s="29">
        <v>6</v>
      </c>
      <c r="C69">
        <f t="shared" si="30"/>
        <v>2</v>
      </c>
      <c r="D69">
        <f t="shared" si="31"/>
        <v>6</v>
      </c>
      <c r="E69">
        <f t="shared" si="32"/>
        <v>-1</v>
      </c>
      <c r="F69">
        <f t="shared" si="33"/>
        <v>0</v>
      </c>
      <c r="G69">
        <f t="shared" si="34"/>
        <v>0</v>
      </c>
      <c r="J69" s="33"/>
    </row>
    <row r="70" spans="1:10" x14ac:dyDescent="0.25">
      <c r="A70" s="29" t="s">
        <v>4</v>
      </c>
      <c r="B70" s="29">
        <v>6</v>
      </c>
      <c r="C70">
        <f t="shared" si="30"/>
        <v>2</v>
      </c>
      <c r="D70">
        <f t="shared" si="31"/>
        <v>6</v>
      </c>
      <c r="E70">
        <f t="shared" si="32"/>
        <v>-1</v>
      </c>
      <c r="F70">
        <f t="shared" si="33"/>
        <v>0</v>
      </c>
      <c r="G70">
        <f t="shared" si="34"/>
        <v>0</v>
      </c>
      <c r="J70" s="33"/>
    </row>
    <row r="71" spans="1:10" x14ac:dyDescent="0.25">
      <c r="A71" s="29" t="s">
        <v>3</v>
      </c>
      <c r="B71" s="29">
        <v>5</v>
      </c>
      <c r="C71">
        <f t="shared" si="30"/>
        <v>4</v>
      </c>
      <c r="D71">
        <f t="shared" si="31"/>
        <v>6</v>
      </c>
      <c r="E71">
        <f t="shared" si="32"/>
        <v>1</v>
      </c>
      <c r="F71">
        <f t="shared" si="33"/>
        <v>2</v>
      </c>
      <c r="G71">
        <f t="shared" si="34"/>
        <v>0</v>
      </c>
      <c r="J71" s="33"/>
    </row>
    <row r="72" spans="1:10" x14ac:dyDescent="0.25">
      <c r="A72" s="29"/>
      <c r="B72" s="29"/>
      <c r="J72" s="33"/>
    </row>
    <row r="73" spans="1:10" x14ac:dyDescent="0.25">
      <c r="A73" s="33" t="s">
        <v>80</v>
      </c>
      <c r="B73" s="29"/>
      <c r="F73">
        <f ca="1">SUM(OFFSET(F74,,,8/nbrCell))</f>
        <v>11</v>
      </c>
      <c r="G73">
        <f ca="1">SUM(OFFSET(G74,,,8/nbrCell))</f>
        <v>3</v>
      </c>
    </row>
    <row r="74" spans="1:10" x14ac:dyDescent="0.25">
      <c r="A74" s="29" t="s">
        <v>35</v>
      </c>
      <c r="B74" s="29">
        <v>6</v>
      </c>
      <c r="C74">
        <f t="shared" ref="C74:C81" si="35">VLOOKUP(A74,result,2)</f>
        <v>4</v>
      </c>
      <c r="D74">
        <f t="shared" ref="D74:D81" si="36">VLOOKUP(A74,resTot,5)</f>
        <v>6</v>
      </c>
      <c r="E74">
        <f t="shared" ref="E74:E81" si="37">IF(ISNA(VLOOKUP(A74,resTot,6)),0,VLOOKUP(A74,resTot,6))</f>
        <v>1</v>
      </c>
      <c r="F74">
        <f t="shared" ref="F74:F81" si="38">IF(E74&lt;0,0,    IF(AND(E74&gt;0,B74=D74 ),pointsSerie+pointsPoints,  IF(E74&gt;0,pointsSerie,0)  )  )</f>
        <v>3</v>
      </c>
      <c r="G74">
        <f t="shared" ref="G74:G81" si="39">IF(E74=0,   IF(B74-D74 &gt;= 4 -C74, pointsSerie+pointsPoints,    IF(7-D74 &gt;= 4 -C74, pointsSerie, 0)  ),    0  )</f>
        <v>0</v>
      </c>
    </row>
    <row r="75" spans="1:10" x14ac:dyDescent="0.25">
      <c r="A75" s="29" t="s">
        <v>1</v>
      </c>
      <c r="B75" s="29">
        <v>7</v>
      </c>
      <c r="C75">
        <f t="shared" si="35"/>
        <v>3</v>
      </c>
      <c r="D75">
        <f t="shared" si="36"/>
        <v>6</v>
      </c>
      <c r="E75">
        <f t="shared" si="37"/>
        <v>0</v>
      </c>
      <c r="F75">
        <f t="shared" si="38"/>
        <v>0</v>
      </c>
      <c r="G75">
        <f t="shared" si="39"/>
        <v>3</v>
      </c>
    </row>
    <row r="76" spans="1:10" x14ac:dyDescent="0.25">
      <c r="A76" s="29" t="s">
        <v>2</v>
      </c>
      <c r="B76" s="29">
        <v>7</v>
      </c>
      <c r="C76">
        <f t="shared" si="35"/>
        <v>4</v>
      </c>
      <c r="D76">
        <f t="shared" si="36"/>
        <v>4</v>
      </c>
      <c r="E76">
        <f t="shared" si="37"/>
        <v>1</v>
      </c>
      <c r="F76">
        <f t="shared" si="38"/>
        <v>2</v>
      </c>
      <c r="G76">
        <f t="shared" si="39"/>
        <v>0</v>
      </c>
    </row>
    <row r="77" spans="1:10" x14ac:dyDescent="0.25">
      <c r="A77" s="29" t="s">
        <v>36</v>
      </c>
      <c r="B77" s="29">
        <v>7</v>
      </c>
      <c r="C77">
        <f t="shared" si="35"/>
        <v>2</v>
      </c>
      <c r="D77">
        <f t="shared" si="36"/>
        <v>6</v>
      </c>
      <c r="E77">
        <f t="shared" si="37"/>
        <v>-1</v>
      </c>
      <c r="F77">
        <f t="shared" si="38"/>
        <v>0</v>
      </c>
      <c r="G77">
        <f t="shared" si="39"/>
        <v>0</v>
      </c>
    </row>
    <row r="78" spans="1:10" x14ac:dyDescent="0.25">
      <c r="A78" s="29" t="s">
        <v>5</v>
      </c>
      <c r="B78" s="29">
        <v>5</v>
      </c>
      <c r="C78">
        <f t="shared" si="35"/>
        <v>4</v>
      </c>
      <c r="D78">
        <f t="shared" si="36"/>
        <v>4</v>
      </c>
      <c r="E78">
        <f t="shared" si="37"/>
        <v>1</v>
      </c>
      <c r="F78">
        <f t="shared" si="38"/>
        <v>2</v>
      </c>
      <c r="G78">
        <f t="shared" si="39"/>
        <v>0</v>
      </c>
    </row>
    <row r="79" spans="1:10" x14ac:dyDescent="0.25">
      <c r="A79" s="29" t="s">
        <v>7</v>
      </c>
      <c r="B79" s="29">
        <v>7</v>
      </c>
      <c r="C79">
        <f t="shared" si="35"/>
        <v>2</v>
      </c>
      <c r="D79">
        <f t="shared" si="36"/>
        <v>6</v>
      </c>
      <c r="E79">
        <f t="shared" si="37"/>
        <v>-1</v>
      </c>
      <c r="F79">
        <f t="shared" si="38"/>
        <v>0</v>
      </c>
      <c r="G79">
        <f t="shared" si="39"/>
        <v>0</v>
      </c>
    </row>
    <row r="80" spans="1:10" x14ac:dyDescent="0.25">
      <c r="A80" s="29" t="s">
        <v>34</v>
      </c>
      <c r="B80" s="29">
        <v>7</v>
      </c>
      <c r="C80">
        <f t="shared" si="35"/>
        <v>4</v>
      </c>
      <c r="D80">
        <f t="shared" si="36"/>
        <v>6</v>
      </c>
      <c r="E80">
        <f t="shared" si="37"/>
        <v>1</v>
      </c>
      <c r="F80">
        <f t="shared" si="38"/>
        <v>2</v>
      </c>
      <c r="G80">
        <f t="shared" si="39"/>
        <v>0</v>
      </c>
    </row>
    <row r="81" spans="1:34" x14ac:dyDescent="0.25">
      <c r="A81" s="29" t="s">
        <v>3</v>
      </c>
      <c r="B81" s="29">
        <v>7</v>
      </c>
      <c r="C81">
        <f t="shared" si="35"/>
        <v>4</v>
      </c>
      <c r="D81">
        <f t="shared" si="36"/>
        <v>6</v>
      </c>
      <c r="E81">
        <f t="shared" si="37"/>
        <v>1</v>
      </c>
      <c r="F81">
        <f t="shared" si="38"/>
        <v>2</v>
      </c>
      <c r="G81">
        <f t="shared" si="39"/>
        <v>0</v>
      </c>
    </row>
    <row r="82" spans="1:34" x14ac:dyDescent="0.25">
      <c r="A82" s="29"/>
      <c r="B82" s="29"/>
    </row>
    <row r="83" spans="1:34" x14ac:dyDescent="0.25">
      <c r="A83" s="33" t="s">
        <v>91</v>
      </c>
      <c r="F83">
        <f ca="1">SUM(OFFSET(F84,,,8/nbrCell))</f>
        <v>5</v>
      </c>
      <c r="G83">
        <f ca="1">SUM(OFFSET(G84,,,8/nbrCell))</f>
        <v>2</v>
      </c>
      <c r="J83" s="33"/>
    </row>
    <row r="84" spans="1:34" x14ac:dyDescent="0.25">
      <c r="A84" s="29" t="s">
        <v>0</v>
      </c>
      <c r="B84" s="29">
        <v>7</v>
      </c>
      <c r="C84">
        <f t="shared" ref="C84:C91" si="40">VLOOKUP(A84,result,2)</f>
        <v>2</v>
      </c>
      <c r="D84">
        <f t="shared" ref="D84:D91" si="41">VLOOKUP(A84,resTot,5)</f>
        <v>6</v>
      </c>
      <c r="E84">
        <f t="shared" ref="E84:E91" si="42">IF(ISNA(VLOOKUP(A84,resTot,6)),0,VLOOKUP(A84,resTot,6))</f>
        <v>-1</v>
      </c>
      <c r="F84">
        <f t="shared" ref="F84:F91" si="43">IF(E84&lt;0,0,    IF(AND(E84&gt;0,B84=D84 ),pointsSerie+pointsPoints,  IF(E84&gt;0,pointsSerie,0)  )  )</f>
        <v>0</v>
      </c>
      <c r="G84">
        <f t="shared" ref="G84:G91" si="44">IF(E84=0,   IF(B84-D84 &gt;= 4 -C84, pointsSerie+pointsPoints,    IF(7-D84 &gt;= 4 -C84, pointsSerie, 0)  ),    0  )</f>
        <v>0</v>
      </c>
      <c r="J84" s="33"/>
    </row>
    <row r="85" spans="1:34" x14ac:dyDescent="0.25">
      <c r="A85" s="29" t="s">
        <v>31</v>
      </c>
      <c r="B85" s="29">
        <v>6</v>
      </c>
      <c r="C85">
        <f t="shared" si="40"/>
        <v>3</v>
      </c>
      <c r="D85">
        <f t="shared" si="41"/>
        <v>6</v>
      </c>
      <c r="E85">
        <f t="shared" si="42"/>
        <v>0</v>
      </c>
      <c r="F85">
        <f t="shared" si="43"/>
        <v>0</v>
      </c>
      <c r="G85">
        <f t="shared" si="44"/>
        <v>2</v>
      </c>
      <c r="J85" s="33"/>
    </row>
    <row r="86" spans="1:34" x14ac:dyDescent="0.25">
      <c r="A86" s="29" t="s">
        <v>2</v>
      </c>
      <c r="B86" s="29">
        <v>6</v>
      </c>
      <c r="C86">
        <f t="shared" si="40"/>
        <v>4</v>
      </c>
      <c r="D86">
        <f t="shared" si="41"/>
        <v>4</v>
      </c>
      <c r="E86">
        <f t="shared" si="42"/>
        <v>1</v>
      </c>
      <c r="F86">
        <f t="shared" si="43"/>
        <v>2</v>
      </c>
      <c r="G86">
        <f t="shared" si="44"/>
        <v>0</v>
      </c>
      <c r="J86" s="33"/>
    </row>
    <row r="87" spans="1:34" x14ac:dyDescent="0.25">
      <c r="A87" s="29" t="s">
        <v>36</v>
      </c>
      <c r="B87" s="29">
        <v>7</v>
      </c>
      <c r="C87">
        <f t="shared" si="40"/>
        <v>2</v>
      </c>
      <c r="D87">
        <f t="shared" si="41"/>
        <v>6</v>
      </c>
      <c r="E87">
        <f t="shared" si="42"/>
        <v>-1</v>
      </c>
      <c r="F87">
        <f t="shared" si="43"/>
        <v>0</v>
      </c>
      <c r="G87">
        <f t="shared" si="44"/>
        <v>0</v>
      </c>
    </row>
    <row r="88" spans="1:34" x14ac:dyDescent="0.25">
      <c r="A88" s="29" t="s">
        <v>5</v>
      </c>
      <c r="B88" s="29">
        <v>4</v>
      </c>
      <c r="C88">
        <f t="shared" si="40"/>
        <v>4</v>
      </c>
      <c r="D88">
        <f t="shared" si="41"/>
        <v>4</v>
      </c>
      <c r="E88">
        <f t="shared" si="42"/>
        <v>1</v>
      </c>
      <c r="F88">
        <f t="shared" si="43"/>
        <v>3</v>
      </c>
      <c r="G88">
        <f t="shared" si="44"/>
        <v>0</v>
      </c>
    </row>
    <row r="89" spans="1:34" x14ac:dyDescent="0.25">
      <c r="A89" s="29" t="s">
        <v>7</v>
      </c>
      <c r="B89" s="29">
        <v>7</v>
      </c>
      <c r="C89">
        <f t="shared" si="40"/>
        <v>2</v>
      </c>
      <c r="D89">
        <f t="shared" si="41"/>
        <v>6</v>
      </c>
      <c r="E89">
        <f t="shared" si="42"/>
        <v>-1</v>
      </c>
      <c r="F89">
        <f t="shared" si="43"/>
        <v>0</v>
      </c>
      <c r="G89">
        <f t="shared" si="44"/>
        <v>0</v>
      </c>
    </row>
    <row r="90" spans="1:34" x14ac:dyDescent="0.25">
      <c r="A90" s="29" t="s">
        <v>4</v>
      </c>
      <c r="B90" s="29">
        <v>6</v>
      </c>
      <c r="C90">
        <f t="shared" si="40"/>
        <v>2</v>
      </c>
      <c r="D90">
        <f t="shared" si="41"/>
        <v>6</v>
      </c>
      <c r="E90">
        <f t="shared" si="42"/>
        <v>-1</v>
      </c>
      <c r="F90">
        <f t="shared" si="43"/>
        <v>0</v>
      </c>
      <c r="G90">
        <f t="shared" si="44"/>
        <v>0</v>
      </c>
    </row>
    <row r="91" spans="1:34" x14ac:dyDescent="0.25">
      <c r="A91" s="29" t="s">
        <v>33</v>
      </c>
      <c r="B91" s="29">
        <v>6</v>
      </c>
      <c r="C91">
        <f t="shared" si="40"/>
        <v>2</v>
      </c>
      <c r="D91">
        <f t="shared" si="41"/>
        <v>6</v>
      </c>
      <c r="E91">
        <f t="shared" si="42"/>
        <v>-1</v>
      </c>
      <c r="F91">
        <f t="shared" si="43"/>
        <v>0</v>
      </c>
      <c r="G91">
        <f t="shared" si="44"/>
        <v>0</v>
      </c>
    </row>
    <row r="92" spans="1:34" x14ac:dyDescent="0.25">
      <c r="A92" s="29"/>
      <c r="B92" s="29"/>
    </row>
    <row r="93" spans="1:34" x14ac:dyDescent="0.25">
      <c r="A93" s="33" t="s">
        <v>95</v>
      </c>
      <c r="F93">
        <f ca="1">SUM(OFFSET(F94,,,8/nbrCell))</f>
        <v>10</v>
      </c>
      <c r="G93">
        <f ca="1">SUM(OFFSET(G94,,,8/nbrCell))</f>
        <v>3</v>
      </c>
      <c r="I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</row>
    <row r="94" spans="1:34" x14ac:dyDescent="0.25">
      <c r="A94" s="29" t="s">
        <v>35</v>
      </c>
      <c r="B94" s="29">
        <v>6</v>
      </c>
      <c r="C94">
        <f t="shared" ref="C94:C101" si="45">VLOOKUP(A94,result,2)</f>
        <v>4</v>
      </c>
      <c r="D94">
        <f t="shared" ref="D94:D101" si="46">VLOOKUP(A94,resTot,5)</f>
        <v>6</v>
      </c>
      <c r="E94">
        <f t="shared" ref="E94:E101" si="47">IF(ISNA(VLOOKUP(A94,resTot,6)),0,VLOOKUP(A94,resTot,6))</f>
        <v>1</v>
      </c>
      <c r="F94">
        <f t="shared" ref="F94:F101" si="48">IF(E94&lt;0,0,    IF(AND(E94&gt;0,B94=D94 ),pointsSerie+pointsPoints,  IF(E94&gt;0,pointsSerie,0)  )  )</f>
        <v>3</v>
      </c>
      <c r="G94">
        <f t="shared" ref="G94:G101" si="49">IF(E94=0,   IF(B94-D94 &gt;= 4 -C94, pointsSerie+pointsPoints,    IF(7-D94 &gt;= 4 -C94, pointsSerie, 0)  ),    0  )</f>
        <v>0</v>
      </c>
      <c r="I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29"/>
      <c r="AF94" s="29"/>
      <c r="AG94" s="29"/>
      <c r="AH94" s="29"/>
    </row>
    <row r="95" spans="1:34" x14ac:dyDescent="0.25">
      <c r="A95" s="29" t="s">
        <v>31</v>
      </c>
      <c r="B95" s="29">
        <v>7</v>
      </c>
      <c r="C95">
        <f t="shared" si="45"/>
        <v>3</v>
      </c>
      <c r="D95">
        <f t="shared" si="46"/>
        <v>6</v>
      </c>
      <c r="E95">
        <f t="shared" si="47"/>
        <v>0</v>
      </c>
      <c r="F95">
        <f t="shared" si="48"/>
        <v>0</v>
      </c>
      <c r="G95">
        <f t="shared" si="49"/>
        <v>3</v>
      </c>
      <c r="I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29"/>
      <c r="AF95" s="29"/>
      <c r="AG95" s="29"/>
      <c r="AH95" s="29"/>
    </row>
    <row r="96" spans="1:34" x14ac:dyDescent="0.25">
      <c r="A96" s="29" t="s">
        <v>2</v>
      </c>
      <c r="B96" s="29">
        <v>6</v>
      </c>
      <c r="C96">
        <f t="shared" si="45"/>
        <v>4</v>
      </c>
      <c r="D96">
        <f t="shared" si="46"/>
        <v>4</v>
      </c>
      <c r="E96">
        <f t="shared" si="47"/>
        <v>1</v>
      </c>
      <c r="F96">
        <f t="shared" si="48"/>
        <v>2</v>
      </c>
      <c r="G96">
        <f t="shared" si="49"/>
        <v>0</v>
      </c>
      <c r="I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29"/>
      <c r="AF96" s="29"/>
      <c r="AG96" s="29"/>
      <c r="AH96" s="29"/>
    </row>
    <row r="97" spans="1:34" x14ac:dyDescent="0.25">
      <c r="A97" s="29" t="s">
        <v>36</v>
      </c>
      <c r="B97" s="29">
        <v>6</v>
      </c>
      <c r="C97">
        <f t="shared" si="45"/>
        <v>2</v>
      </c>
      <c r="D97">
        <f t="shared" si="46"/>
        <v>6</v>
      </c>
      <c r="E97">
        <f t="shared" si="47"/>
        <v>-1</v>
      </c>
      <c r="F97">
        <f t="shared" si="48"/>
        <v>0</v>
      </c>
      <c r="G97">
        <f t="shared" si="49"/>
        <v>0</v>
      </c>
      <c r="I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29"/>
      <c r="AH97" s="29"/>
    </row>
    <row r="98" spans="1:34" x14ac:dyDescent="0.25">
      <c r="A98" s="29" t="s">
        <v>5</v>
      </c>
      <c r="B98" s="29">
        <v>5</v>
      </c>
      <c r="C98">
        <f t="shared" si="45"/>
        <v>4</v>
      </c>
      <c r="D98">
        <f t="shared" si="46"/>
        <v>4</v>
      </c>
      <c r="E98">
        <f t="shared" si="47"/>
        <v>1</v>
      </c>
      <c r="F98">
        <f t="shared" si="48"/>
        <v>2</v>
      </c>
      <c r="G98">
        <f t="shared" si="49"/>
        <v>0</v>
      </c>
      <c r="I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29"/>
      <c r="AF98" s="29"/>
      <c r="AG98" s="29"/>
      <c r="AH98" s="29"/>
    </row>
    <row r="99" spans="1:34" x14ac:dyDescent="0.25">
      <c r="A99" s="29" t="s">
        <v>7</v>
      </c>
      <c r="B99" s="29">
        <v>7</v>
      </c>
      <c r="C99">
        <f t="shared" si="45"/>
        <v>2</v>
      </c>
      <c r="D99">
        <f t="shared" si="46"/>
        <v>6</v>
      </c>
      <c r="E99">
        <f t="shared" si="47"/>
        <v>-1</v>
      </c>
      <c r="F99">
        <f t="shared" si="48"/>
        <v>0</v>
      </c>
      <c r="G99">
        <f t="shared" si="49"/>
        <v>0</v>
      </c>
      <c r="I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29"/>
      <c r="AF99" s="29"/>
      <c r="AG99" s="29"/>
      <c r="AH99" s="29"/>
    </row>
    <row r="100" spans="1:34" x14ac:dyDescent="0.25">
      <c r="A100" s="29" t="s">
        <v>4</v>
      </c>
      <c r="B100" s="29">
        <v>5</v>
      </c>
      <c r="C100">
        <f t="shared" si="45"/>
        <v>2</v>
      </c>
      <c r="D100">
        <f t="shared" si="46"/>
        <v>6</v>
      </c>
      <c r="E100">
        <f t="shared" si="47"/>
        <v>-1</v>
      </c>
      <c r="F100">
        <f t="shared" si="48"/>
        <v>0</v>
      </c>
      <c r="G100">
        <f t="shared" si="49"/>
        <v>0</v>
      </c>
      <c r="I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29"/>
      <c r="AF100" s="29"/>
      <c r="AG100" s="29"/>
      <c r="AH100" s="29"/>
    </row>
    <row r="101" spans="1:34" x14ac:dyDescent="0.25">
      <c r="A101" s="29" t="s">
        <v>3</v>
      </c>
      <c r="B101" s="29">
        <v>6</v>
      </c>
      <c r="C101">
        <f t="shared" si="45"/>
        <v>4</v>
      </c>
      <c r="D101">
        <f t="shared" si="46"/>
        <v>6</v>
      </c>
      <c r="E101">
        <f t="shared" si="47"/>
        <v>1</v>
      </c>
      <c r="F101">
        <f t="shared" si="48"/>
        <v>3</v>
      </c>
      <c r="G101">
        <f t="shared" si="49"/>
        <v>0</v>
      </c>
      <c r="I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29"/>
      <c r="AF101" s="29"/>
      <c r="AG101" s="29"/>
      <c r="AH101" s="29"/>
    </row>
    <row r="102" spans="1:34" x14ac:dyDescent="0.25">
      <c r="A102" s="29"/>
      <c r="B102" s="29"/>
      <c r="I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29"/>
      <c r="AF102" s="29"/>
      <c r="AG102" s="29"/>
      <c r="AH102" s="29"/>
    </row>
    <row r="103" spans="1:34" x14ac:dyDescent="0.25">
      <c r="A103" s="33" t="s">
        <v>61</v>
      </c>
      <c r="F103">
        <f ca="1">SUM(OFFSET(F104,,,8/nbrCell))</f>
        <v>7</v>
      </c>
      <c r="G103">
        <f ca="1">SUM(OFFSET(G104,,,8/nbrCell))</f>
        <v>3</v>
      </c>
    </row>
    <row r="104" spans="1:34" x14ac:dyDescent="0.25">
      <c r="A104" s="29" t="s">
        <v>35</v>
      </c>
      <c r="B104" s="29">
        <v>6</v>
      </c>
      <c r="C104">
        <f t="shared" ref="C104:C111" si="50">VLOOKUP(A104,result,2)</f>
        <v>4</v>
      </c>
      <c r="D104">
        <f t="shared" ref="D104:D111" si="51">VLOOKUP(A104,resTot,5)</f>
        <v>6</v>
      </c>
      <c r="E104">
        <f t="shared" ref="E104:E111" si="52">IF(ISNA(VLOOKUP(A104,resTot,6)),0,VLOOKUP(A104,resTot,6))</f>
        <v>1</v>
      </c>
      <c r="F104">
        <f t="shared" ref="F104:F111" si="53">IF(E104&lt;0,0,    IF(AND(E104&gt;0,B104=D104 ),pointsSerie+pointsPoints,  IF(E104&gt;0,pointsSerie,0)  )  )</f>
        <v>3</v>
      </c>
      <c r="G104">
        <f t="shared" ref="G104:G111" si="54">IF(E104=0,   IF(B104-D104 &gt;= 4 -C104, pointsSerie+pointsPoints,    IF(7-D104 &gt;= 4 -C104, pointsSerie, 0)  ),    0  )</f>
        <v>0</v>
      </c>
    </row>
    <row r="105" spans="1:34" x14ac:dyDescent="0.25">
      <c r="A105" s="29" t="s">
        <v>31</v>
      </c>
      <c r="B105" s="29">
        <v>7</v>
      </c>
      <c r="C105">
        <f t="shared" si="50"/>
        <v>3</v>
      </c>
      <c r="D105">
        <f t="shared" si="51"/>
        <v>6</v>
      </c>
      <c r="E105">
        <f t="shared" si="52"/>
        <v>0</v>
      </c>
      <c r="F105">
        <f t="shared" si="53"/>
        <v>0</v>
      </c>
      <c r="G105">
        <f t="shared" si="54"/>
        <v>3</v>
      </c>
    </row>
    <row r="106" spans="1:34" x14ac:dyDescent="0.25">
      <c r="A106" s="29" t="s">
        <v>30</v>
      </c>
      <c r="B106" s="29">
        <v>7</v>
      </c>
      <c r="C106">
        <f t="shared" si="50"/>
        <v>0</v>
      </c>
      <c r="D106">
        <f t="shared" si="51"/>
        <v>4</v>
      </c>
      <c r="E106">
        <f t="shared" si="52"/>
        <v>-1</v>
      </c>
      <c r="F106">
        <f t="shared" si="53"/>
        <v>0</v>
      </c>
      <c r="G106">
        <f t="shared" si="54"/>
        <v>0</v>
      </c>
    </row>
    <row r="107" spans="1:34" x14ac:dyDescent="0.25">
      <c r="A107" s="29" t="s">
        <v>36</v>
      </c>
      <c r="B107" s="29">
        <v>7</v>
      </c>
      <c r="C107">
        <f t="shared" si="50"/>
        <v>2</v>
      </c>
      <c r="D107">
        <f t="shared" si="51"/>
        <v>6</v>
      </c>
      <c r="E107">
        <f t="shared" si="52"/>
        <v>-1</v>
      </c>
      <c r="F107">
        <f t="shared" si="53"/>
        <v>0</v>
      </c>
      <c r="G107">
        <f t="shared" si="54"/>
        <v>0</v>
      </c>
    </row>
    <row r="108" spans="1:34" x14ac:dyDescent="0.25">
      <c r="A108" s="29" t="s">
        <v>5</v>
      </c>
      <c r="B108" s="29">
        <v>5</v>
      </c>
      <c r="C108">
        <f t="shared" si="50"/>
        <v>4</v>
      </c>
      <c r="D108">
        <f t="shared" si="51"/>
        <v>4</v>
      </c>
      <c r="E108">
        <f t="shared" si="52"/>
        <v>1</v>
      </c>
      <c r="F108">
        <f t="shared" si="53"/>
        <v>2</v>
      </c>
      <c r="G108">
        <f t="shared" si="54"/>
        <v>0</v>
      </c>
    </row>
    <row r="109" spans="1:34" x14ac:dyDescent="0.25">
      <c r="A109" s="29" t="s">
        <v>7</v>
      </c>
      <c r="B109" s="29">
        <v>7</v>
      </c>
      <c r="C109">
        <f t="shared" si="50"/>
        <v>2</v>
      </c>
      <c r="D109">
        <f t="shared" si="51"/>
        <v>6</v>
      </c>
      <c r="E109">
        <f t="shared" si="52"/>
        <v>-1</v>
      </c>
      <c r="F109">
        <f t="shared" si="53"/>
        <v>0</v>
      </c>
      <c r="G109">
        <f t="shared" si="54"/>
        <v>0</v>
      </c>
    </row>
    <row r="110" spans="1:34" x14ac:dyDescent="0.25">
      <c r="A110" s="29" t="s">
        <v>4</v>
      </c>
      <c r="B110" s="29">
        <v>7</v>
      </c>
      <c r="C110">
        <f t="shared" si="50"/>
        <v>2</v>
      </c>
      <c r="D110">
        <f t="shared" si="51"/>
        <v>6</v>
      </c>
      <c r="E110">
        <f t="shared" si="52"/>
        <v>-1</v>
      </c>
      <c r="F110">
        <f t="shared" si="53"/>
        <v>0</v>
      </c>
      <c r="G110">
        <f t="shared" si="54"/>
        <v>0</v>
      </c>
    </row>
    <row r="111" spans="1:34" x14ac:dyDescent="0.25">
      <c r="A111" s="29" t="s">
        <v>3</v>
      </c>
      <c r="B111" s="29">
        <v>5</v>
      </c>
      <c r="C111">
        <f t="shared" si="50"/>
        <v>4</v>
      </c>
      <c r="D111">
        <f t="shared" si="51"/>
        <v>6</v>
      </c>
      <c r="E111">
        <f t="shared" si="52"/>
        <v>1</v>
      </c>
      <c r="F111">
        <f t="shared" si="53"/>
        <v>2</v>
      </c>
      <c r="G111">
        <f t="shared" si="54"/>
        <v>0</v>
      </c>
    </row>
    <row r="112" spans="1:34" x14ac:dyDescent="0.25">
      <c r="A112" s="29"/>
      <c r="B112" s="29"/>
    </row>
    <row r="113" spans="1:10" x14ac:dyDescent="0.25">
      <c r="A113" s="33" t="s">
        <v>62</v>
      </c>
      <c r="F113">
        <f ca="1">SUM(OFFSET(F114,,,8/nbrCell))</f>
        <v>5</v>
      </c>
      <c r="G113">
        <f ca="1">SUM(OFFSET(G114,,,8/nbrCell))</f>
        <v>3</v>
      </c>
    </row>
    <row r="114" spans="1:10" x14ac:dyDescent="0.25">
      <c r="A114" s="29" t="s">
        <v>0</v>
      </c>
      <c r="B114" s="29">
        <v>6</v>
      </c>
      <c r="C114">
        <f t="shared" ref="C114:C121" si="55">VLOOKUP(A114,result,2)</f>
        <v>2</v>
      </c>
      <c r="D114">
        <f t="shared" ref="D114:D121" si="56">VLOOKUP(A114,resTot,5)</f>
        <v>6</v>
      </c>
      <c r="E114">
        <f t="shared" ref="E114:E121" si="57">IF(ISNA(VLOOKUP(A114,resTot,6)),0,VLOOKUP(A114,resTot,6))</f>
        <v>-1</v>
      </c>
      <c r="F114">
        <f t="shared" ref="F114:F121" si="58">IF(E114&lt;0,0,    IF(AND(E114&gt;0,B114=D114 ),pointsSerie+pointsPoints,  IF(E114&gt;0,pointsSerie,0)  )  )</f>
        <v>0</v>
      </c>
      <c r="G114">
        <f t="shared" ref="G114:G121" si="59">IF(E114=0,   IF(B114-D114 &gt;= 4 -C114, pointsSerie+pointsPoints,    IF(7-D114 &gt;= 4 -C114, pointsSerie, 0)  ),    0  )</f>
        <v>0</v>
      </c>
    </row>
    <row r="115" spans="1:10" x14ac:dyDescent="0.25">
      <c r="A115" s="29" t="s">
        <v>31</v>
      </c>
      <c r="B115" s="29">
        <v>7</v>
      </c>
      <c r="C115">
        <f t="shared" si="55"/>
        <v>3</v>
      </c>
      <c r="D115">
        <f t="shared" si="56"/>
        <v>6</v>
      </c>
      <c r="E115">
        <f t="shared" si="57"/>
        <v>0</v>
      </c>
      <c r="F115">
        <f t="shared" si="58"/>
        <v>0</v>
      </c>
      <c r="G115">
        <f t="shared" si="59"/>
        <v>3</v>
      </c>
    </row>
    <row r="116" spans="1:10" x14ac:dyDescent="0.25">
      <c r="A116" s="29" t="s">
        <v>2</v>
      </c>
      <c r="B116" s="29">
        <v>5</v>
      </c>
      <c r="C116">
        <f t="shared" si="55"/>
        <v>4</v>
      </c>
      <c r="D116">
        <f t="shared" si="56"/>
        <v>4</v>
      </c>
      <c r="E116">
        <f t="shared" si="57"/>
        <v>1</v>
      </c>
      <c r="F116">
        <f t="shared" si="58"/>
        <v>2</v>
      </c>
      <c r="G116">
        <f t="shared" si="59"/>
        <v>0</v>
      </c>
      <c r="J116" s="33"/>
    </row>
    <row r="117" spans="1:10" x14ac:dyDescent="0.25">
      <c r="A117" s="29" t="s">
        <v>36</v>
      </c>
      <c r="B117" s="29">
        <v>5</v>
      </c>
      <c r="C117">
        <f t="shared" si="55"/>
        <v>2</v>
      </c>
      <c r="D117">
        <f t="shared" si="56"/>
        <v>6</v>
      </c>
      <c r="E117">
        <f t="shared" si="57"/>
        <v>-1</v>
      </c>
      <c r="F117">
        <f t="shared" si="58"/>
        <v>0</v>
      </c>
      <c r="G117">
        <f t="shared" si="59"/>
        <v>0</v>
      </c>
      <c r="J117" s="33"/>
    </row>
    <row r="118" spans="1:10" x14ac:dyDescent="0.25">
      <c r="A118" s="29" t="s">
        <v>5</v>
      </c>
      <c r="B118" s="29">
        <v>4</v>
      </c>
      <c r="C118">
        <f t="shared" si="55"/>
        <v>4</v>
      </c>
      <c r="D118">
        <f t="shared" si="56"/>
        <v>4</v>
      </c>
      <c r="E118">
        <f t="shared" si="57"/>
        <v>1</v>
      </c>
      <c r="F118">
        <f t="shared" si="58"/>
        <v>3</v>
      </c>
      <c r="G118">
        <f t="shared" si="59"/>
        <v>0</v>
      </c>
      <c r="J118" s="33"/>
    </row>
    <row r="119" spans="1:10" x14ac:dyDescent="0.25">
      <c r="A119" s="29" t="s">
        <v>7</v>
      </c>
      <c r="B119" s="29">
        <v>7</v>
      </c>
      <c r="C119">
        <f t="shared" si="55"/>
        <v>2</v>
      </c>
      <c r="D119">
        <f t="shared" si="56"/>
        <v>6</v>
      </c>
      <c r="E119">
        <f t="shared" si="57"/>
        <v>-1</v>
      </c>
      <c r="F119">
        <f t="shared" si="58"/>
        <v>0</v>
      </c>
      <c r="G119">
        <f t="shared" si="59"/>
        <v>0</v>
      </c>
      <c r="J119" s="33"/>
    </row>
    <row r="120" spans="1:10" x14ac:dyDescent="0.25">
      <c r="A120" s="29" t="s">
        <v>4</v>
      </c>
      <c r="B120" s="29">
        <v>5</v>
      </c>
      <c r="C120">
        <f t="shared" si="55"/>
        <v>2</v>
      </c>
      <c r="D120">
        <f t="shared" si="56"/>
        <v>6</v>
      </c>
      <c r="E120">
        <f t="shared" si="57"/>
        <v>-1</v>
      </c>
      <c r="F120">
        <f t="shared" si="58"/>
        <v>0</v>
      </c>
      <c r="G120">
        <f t="shared" si="59"/>
        <v>0</v>
      </c>
      <c r="J120" s="33"/>
    </row>
    <row r="121" spans="1:10" x14ac:dyDescent="0.25">
      <c r="A121" s="29" t="s">
        <v>33</v>
      </c>
      <c r="B121" s="29">
        <v>7</v>
      </c>
      <c r="C121">
        <f t="shared" si="55"/>
        <v>2</v>
      </c>
      <c r="D121">
        <f t="shared" si="56"/>
        <v>6</v>
      </c>
      <c r="E121">
        <f t="shared" si="57"/>
        <v>-1</v>
      </c>
      <c r="F121">
        <f t="shared" si="58"/>
        <v>0</v>
      </c>
      <c r="G121">
        <f t="shared" si="59"/>
        <v>0</v>
      </c>
    </row>
    <row r="122" spans="1:10" x14ac:dyDescent="0.25">
      <c r="A122" s="29"/>
      <c r="B122" s="29"/>
    </row>
    <row r="123" spans="1:10" x14ac:dyDescent="0.25">
      <c r="A123" s="33" t="s">
        <v>96</v>
      </c>
      <c r="F123">
        <f ca="1">SUM(OFFSET(F124,,,8/nbrCell))</f>
        <v>5</v>
      </c>
      <c r="G123">
        <f ca="1">SUM(OFFSET(G124,,,8/nbrCell))</f>
        <v>3</v>
      </c>
    </row>
    <row r="124" spans="1:10" x14ac:dyDescent="0.25">
      <c r="A124" s="29" t="s">
        <v>35</v>
      </c>
      <c r="B124" s="29">
        <v>5</v>
      </c>
      <c r="C124">
        <f t="shared" ref="C124:C131" si="60">VLOOKUP(A124,result,2)</f>
        <v>4</v>
      </c>
      <c r="D124">
        <f t="shared" ref="D124:D131" si="61">VLOOKUP(A124,resTot,5)</f>
        <v>6</v>
      </c>
      <c r="E124">
        <f t="shared" ref="E124:E131" si="62">IF(ISNA(VLOOKUP(A124,resTot,6)),0,VLOOKUP(A124,resTot,6))</f>
        <v>1</v>
      </c>
      <c r="F124">
        <f t="shared" ref="F124:F131" si="63">IF(E124&lt;0,0,    IF(AND(E124&gt;0,B124=D124 ),pointsSerie+pointsPoints,  IF(E124&gt;0,pointsSerie,0)  )  )</f>
        <v>2</v>
      </c>
      <c r="G124">
        <f t="shared" ref="G124:G131" si="64">IF(E124=0,   IF(B124-D124 &gt;= 4 -C124, pointsSerie+pointsPoints,    IF(7-D124 &gt;= 4 -C124, pointsSerie, 0)  ),    0  )</f>
        <v>0</v>
      </c>
    </row>
    <row r="125" spans="1:10" x14ac:dyDescent="0.25">
      <c r="A125" s="29" t="s">
        <v>1</v>
      </c>
      <c r="B125" s="29">
        <v>7</v>
      </c>
      <c r="C125">
        <f t="shared" si="60"/>
        <v>3</v>
      </c>
      <c r="D125">
        <f t="shared" si="61"/>
        <v>6</v>
      </c>
      <c r="E125">
        <f t="shared" si="62"/>
        <v>0</v>
      </c>
      <c r="F125">
        <f t="shared" si="63"/>
        <v>0</v>
      </c>
      <c r="G125">
        <f t="shared" si="64"/>
        <v>3</v>
      </c>
    </row>
    <row r="126" spans="1:10" x14ac:dyDescent="0.25">
      <c r="A126" s="29" t="s">
        <v>30</v>
      </c>
      <c r="B126" s="29">
        <v>6</v>
      </c>
      <c r="C126">
        <f t="shared" si="60"/>
        <v>0</v>
      </c>
      <c r="D126">
        <f t="shared" si="61"/>
        <v>4</v>
      </c>
      <c r="E126">
        <f t="shared" si="62"/>
        <v>-1</v>
      </c>
      <c r="F126">
        <f t="shared" si="63"/>
        <v>0</v>
      </c>
      <c r="G126">
        <f t="shared" si="64"/>
        <v>0</v>
      </c>
    </row>
    <row r="127" spans="1:10" x14ac:dyDescent="0.25">
      <c r="A127" s="29" t="s">
        <v>36</v>
      </c>
      <c r="B127" s="29">
        <v>5</v>
      </c>
      <c r="C127">
        <f t="shared" si="60"/>
        <v>2</v>
      </c>
      <c r="D127">
        <f t="shared" si="61"/>
        <v>6</v>
      </c>
      <c r="E127">
        <f t="shared" si="62"/>
        <v>-1</v>
      </c>
      <c r="F127">
        <f t="shared" si="63"/>
        <v>0</v>
      </c>
      <c r="G127">
        <f t="shared" si="64"/>
        <v>0</v>
      </c>
    </row>
    <row r="128" spans="1:10" x14ac:dyDescent="0.25">
      <c r="A128" s="29" t="s">
        <v>5</v>
      </c>
      <c r="B128" s="29">
        <v>4</v>
      </c>
      <c r="C128">
        <f t="shared" si="60"/>
        <v>4</v>
      </c>
      <c r="D128">
        <f t="shared" si="61"/>
        <v>4</v>
      </c>
      <c r="E128">
        <f t="shared" si="62"/>
        <v>1</v>
      </c>
      <c r="F128">
        <f t="shared" si="63"/>
        <v>3</v>
      </c>
      <c r="G128">
        <f t="shared" si="64"/>
        <v>0</v>
      </c>
    </row>
    <row r="129" spans="1:63" x14ac:dyDescent="0.25">
      <c r="A129" s="29" t="s">
        <v>7</v>
      </c>
      <c r="B129" s="29">
        <v>7</v>
      </c>
      <c r="C129">
        <f t="shared" si="60"/>
        <v>2</v>
      </c>
      <c r="D129">
        <f t="shared" si="61"/>
        <v>6</v>
      </c>
      <c r="E129">
        <f t="shared" si="62"/>
        <v>-1</v>
      </c>
      <c r="F129">
        <f t="shared" si="63"/>
        <v>0</v>
      </c>
      <c r="G129">
        <f t="shared" si="64"/>
        <v>0</v>
      </c>
    </row>
    <row r="130" spans="1:63" x14ac:dyDescent="0.25">
      <c r="A130" s="29" t="s">
        <v>4</v>
      </c>
      <c r="B130" s="29">
        <v>6</v>
      </c>
      <c r="C130">
        <f t="shared" si="60"/>
        <v>2</v>
      </c>
      <c r="D130">
        <f t="shared" si="61"/>
        <v>6</v>
      </c>
      <c r="E130">
        <f t="shared" si="62"/>
        <v>-1</v>
      </c>
      <c r="F130">
        <f t="shared" si="63"/>
        <v>0</v>
      </c>
      <c r="G130">
        <f t="shared" si="64"/>
        <v>0</v>
      </c>
    </row>
    <row r="131" spans="1:63" x14ac:dyDescent="0.25">
      <c r="A131" s="29" t="s">
        <v>33</v>
      </c>
      <c r="B131" s="29">
        <v>5</v>
      </c>
      <c r="C131">
        <f t="shared" si="60"/>
        <v>2</v>
      </c>
      <c r="D131">
        <f t="shared" si="61"/>
        <v>6</v>
      </c>
      <c r="E131">
        <f t="shared" si="62"/>
        <v>-1</v>
      </c>
      <c r="F131">
        <f t="shared" si="63"/>
        <v>0</v>
      </c>
      <c r="G131">
        <f t="shared" si="64"/>
        <v>0</v>
      </c>
    </row>
    <row r="132" spans="1:63" x14ac:dyDescent="0.25">
      <c r="A132" s="29"/>
      <c r="B132" s="29"/>
    </row>
    <row r="133" spans="1:63" x14ac:dyDescent="0.25">
      <c r="A133" s="33" t="s">
        <v>76</v>
      </c>
      <c r="F133">
        <f ca="1">SUM(OFFSET(F134,,,8/nbrCell))</f>
        <v>8</v>
      </c>
      <c r="G133">
        <f ca="1">SUM(OFFSET(G134,,,8/nbrCell))</f>
        <v>2</v>
      </c>
    </row>
    <row r="134" spans="1:63" x14ac:dyDescent="0.25">
      <c r="A134" s="29" t="s">
        <v>35</v>
      </c>
      <c r="B134" s="29">
        <v>6</v>
      </c>
      <c r="C134">
        <f t="shared" ref="C134:C141" si="65">VLOOKUP(A134,result,2)</f>
        <v>4</v>
      </c>
      <c r="D134">
        <f t="shared" ref="D134:D141" si="66">VLOOKUP(A134,resTot,5)</f>
        <v>6</v>
      </c>
      <c r="E134">
        <f t="shared" ref="E134:E141" si="67">IF(ISNA(VLOOKUP(A134,resTot,6)),0,VLOOKUP(A134,resTot,6))</f>
        <v>1</v>
      </c>
      <c r="F134">
        <f t="shared" ref="F134:F141" si="68">IF(E134&lt;0,0,    IF(AND(E134&gt;0,B134=D134 ),pointsSerie+pointsPoints,  IF(E134&gt;0,pointsSerie,0)  )  )</f>
        <v>3</v>
      </c>
      <c r="G134">
        <f t="shared" ref="G134:G141" si="69">IF(E134=0,   IF(B134-D134 &gt;= 4 -C134, pointsSerie+pointsPoints,    IF(7-D134 &gt;= 4 -C134, pointsSerie, 0)  ),    0  )</f>
        <v>0</v>
      </c>
    </row>
    <row r="135" spans="1:63" x14ac:dyDescent="0.25">
      <c r="A135" s="29" t="s">
        <v>31</v>
      </c>
      <c r="B135" s="29">
        <v>6</v>
      </c>
      <c r="C135">
        <f t="shared" si="65"/>
        <v>3</v>
      </c>
      <c r="D135">
        <f t="shared" si="66"/>
        <v>6</v>
      </c>
      <c r="E135">
        <f t="shared" si="67"/>
        <v>0</v>
      </c>
      <c r="F135">
        <f t="shared" si="68"/>
        <v>0</v>
      </c>
      <c r="G135">
        <f t="shared" si="69"/>
        <v>2</v>
      </c>
    </row>
    <row r="136" spans="1:63" x14ac:dyDescent="0.25">
      <c r="A136" s="29" t="s">
        <v>30</v>
      </c>
      <c r="B136" s="29">
        <v>7</v>
      </c>
      <c r="C136">
        <f t="shared" si="65"/>
        <v>0</v>
      </c>
      <c r="D136">
        <f t="shared" si="66"/>
        <v>4</v>
      </c>
      <c r="E136">
        <f t="shared" si="67"/>
        <v>-1</v>
      </c>
      <c r="F136">
        <f t="shared" si="68"/>
        <v>0</v>
      </c>
      <c r="G136">
        <f t="shared" si="69"/>
        <v>0</v>
      </c>
    </row>
    <row r="137" spans="1:63" x14ac:dyDescent="0.25">
      <c r="A137" s="29" t="s">
        <v>36</v>
      </c>
      <c r="B137" s="29">
        <v>6</v>
      </c>
      <c r="C137">
        <f t="shared" si="65"/>
        <v>2</v>
      </c>
      <c r="D137">
        <f t="shared" si="66"/>
        <v>6</v>
      </c>
      <c r="E137">
        <f t="shared" si="67"/>
        <v>-1</v>
      </c>
      <c r="F137">
        <f t="shared" si="68"/>
        <v>0</v>
      </c>
      <c r="G137">
        <f t="shared" si="69"/>
        <v>0</v>
      </c>
    </row>
    <row r="138" spans="1:63" x14ac:dyDescent="0.25">
      <c r="A138" s="29" t="s">
        <v>5</v>
      </c>
      <c r="B138" s="29">
        <v>4</v>
      </c>
      <c r="C138">
        <f t="shared" si="65"/>
        <v>4</v>
      </c>
      <c r="D138">
        <f t="shared" si="66"/>
        <v>4</v>
      </c>
      <c r="E138">
        <f t="shared" si="67"/>
        <v>1</v>
      </c>
      <c r="F138">
        <f t="shared" si="68"/>
        <v>3</v>
      </c>
      <c r="G138">
        <f t="shared" si="69"/>
        <v>0</v>
      </c>
    </row>
    <row r="139" spans="1:63" x14ac:dyDescent="0.25">
      <c r="A139" s="29" t="s">
        <v>7</v>
      </c>
      <c r="B139" s="29">
        <v>6</v>
      </c>
      <c r="C139">
        <f t="shared" si="65"/>
        <v>2</v>
      </c>
      <c r="D139">
        <f t="shared" si="66"/>
        <v>6</v>
      </c>
      <c r="E139">
        <f t="shared" si="67"/>
        <v>-1</v>
      </c>
      <c r="F139">
        <f t="shared" si="68"/>
        <v>0</v>
      </c>
      <c r="G139">
        <f t="shared" si="69"/>
        <v>0</v>
      </c>
    </row>
    <row r="140" spans="1:63" x14ac:dyDescent="0.25">
      <c r="A140" s="29" t="s">
        <v>4</v>
      </c>
      <c r="B140" s="29">
        <v>6</v>
      </c>
      <c r="C140">
        <f t="shared" si="65"/>
        <v>2</v>
      </c>
      <c r="D140">
        <f t="shared" si="66"/>
        <v>6</v>
      </c>
      <c r="E140">
        <f t="shared" si="67"/>
        <v>-1</v>
      </c>
      <c r="F140">
        <f t="shared" si="68"/>
        <v>0</v>
      </c>
      <c r="G140">
        <f t="shared" si="69"/>
        <v>0</v>
      </c>
    </row>
    <row r="141" spans="1:63" x14ac:dyDescent="0.25">
      <c r="A141" s="29" t="s">
        <v>3</v>
      </c>
      <c r="B141" s="29">
        <v>5</v>
      </c>
      <c r="C141">
        <f t="shared" si="65"/>
        <v>4</v>
      </c>
      <c r="D141">
        <f t="shared" si="66"/>
        <v>6</v>
      </c>
      <c r="E141">
        <f t="shared" si="67"/>
        <v>1</v>
      </c>
      <c r="F141">
        <f t="shared" si="68"/>
        <v>2</v>
      </c>
      <c r="G141">
        <f t="shared" si="69"/>
        <v>0</v>
      </c>
    </row>
    <row r="142" spans="1:63" x14ac:dyDescent="0.25">
      <c r="A142" s="29"/>
      <c r="B142" s="29"/>
    </row>
    <row r="143" spans="1:63" x14ac:dyDescent="0.25">
      <c r="A143" s="33" t="s">
        <v>70</v>
      </c>
      <c r="F143">
        <f ca="1">SUM(OFFSET(F144,,,8/nbrCell))</f>
        <v>13</v>
      </c>
      <c r="G143">
        <f ca="1">SUM(OFFSET(G144,,,8/nbrCell))</f>
        <v>3</v>
      </c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  <c r="AJ143" s="28"/>
      <c r="AK143" s="28"/>
      <c r="AL143" s="28"/>
      <c r="AM143" s="28"/>
      <c r="AN143" s="28"/>
      <c r="AO143" s="28"/>
      <c r="AP143" s="28"/>
      <c r="AQ143" s="28"/>
      <c r="AR143" s="28"/>
      <c r="AS143" s="28"/>
      <c r="AT143" s="28"/>
      <c r="AU143" s="28"/>
      <c r="AV143" s="28"/>
      <c r="AW143" s="28"/>
      <c r="AX143" s="28"/>
      <c r="AY143" s="28"/>
      <c r="AZ143" s="28"/>
      <c r="BA143" s="28"/>
      <c r="BB143" s="28"/>
      <c r="BC143" s="28"/>
      <c r="BD143" s="28"/>
      <c r="BE143" s="28"/>
      <c r="BF143" s="28"/>
      <c r="BG143" s="28"/>
      <c r="BH143" s="28"/>
      <c r="BI143" s="28"/>
      <c r="BJ143" s="28"/>
      <c r="BK143" s="28"/>
    </row>
    <row r="144" spans="1:63" x14ac:dyDescent="0.25">
      <c r="A144" s="29" t="s">
        <v>35</v>
      </c>
      <c r="B144" s="29">
        <v>6</v>
      </c>
      <c r="C144">
        <f t="shared" ref="C144:C151" si="70">VLOOKUP(A144,result,2)</f>
        <v>4</v>
      </c>
      <c r="D144">
        <f t="shared" ref="D144:D151" si="71">VLOOKUP(A144,resTot,5)</f>
        <v>6</v>
      </c>
      <c r="E144">
        <f t="shared" ref="E144:E151" si="72">IF(ISNA(VLOOKUP(A144,resTot,6)),0,VLOOKUP(A144,resTot,6))</f>
        <v>1</v>
      </c>
      <c r="F144">
        <f t="shared" ref="F144:F151" si="73">IF(E144&lt;0,0,    IF(AND(E144&gt;0,B144=D144 ),pointsSerie+pointsPoints,  IF(E144&gt;0,pointsSerie,0)  )  )</f>
        <v>3</v>
      </c>
      <c r="G144">
        <f t="shared" ref="G144:G151" si="74">IF(E144=0,   IF(B144-D144 &gt;= 4 -C144, pointsSerie+pointsPoints,    IF(7-D144 &gt;= 4 -C144, pointsSerie, 0)  ),    0  )</f>
        <v>0</v>
      </c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  <c r="AX144" s="29"/>
      <c r="AY144" s="29"/>
      <c r="AZ144" s="29"/>
      <c r="BA144" s="29"/>
      <c r="BB144" s="29"/>
      <c r="BC144" s="29"/>
      <c r="BD144" s="29"/>
      <c r="BE144" s="29"/>
      <c r="BF144" s="29"/>
      <c r="BG144" s="29"/>
      <c r="BH144" s="29"/>
      <c r="BI144" s="29"/>
      <c r="BJ144" s="29"/>
      <c r="BK144" s="29"/>
    </row>
    <row r="145" spans="1:63" x14ac:dyDescent="0.25">
      <c r="A145" s="29" t="s">
        <v>31</v>
      </c>
      <c r="B145" s="29">
        <v>7</v>
      </c>
      <c r="C145">
        <f t="shared" si="70"/>
        <v>3</v>
      </c>
      <c r="D145">
        <f t="shared" si="71"/>
        <v>6</v>
      </c>
      <c r="E145">
        <f t="shared" si="72"/>
        <v>0</v>
      </c>
      <c r="F145">
        <f t="shared" si="73"/>
        <v>0</v>
      </c>
      <c r="G145">
        <f t="shared" si="74"/>
        <v>3</v>
      </c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  <c r="AX145" s="29"/>
      <c r="AY145" s="29"/>
      <c r="AZ145" s="29"/>
      <c r="BA145" s="29"/>
      <c r="BB145" s="29"/>
      <c r="BC145" s="29"/>
      <c r="BD145" s="29"/>
      <c r="BE145" s="29"/>
      <c r="BF145" s="29"/>
      <c r="BG145" s="29"/>
      <c r="BH145" s="29"/>
      <c r="BI145" s="29"/>
      <c r="BJ145" s="29"/>
      <c r="BK145" s="29"/>
    </row>
    <row r="146" spans="1:63" x14ac:dyDescent="0.25">
      <c r="A146" s="29" t="s">
        <v>2</v>
      </c>
      <c r="B146" s="29">
        <v>6</v>
      </c>
      <c r="C146">
        <f t="shared" si="70"/>
        <v>4</v>
      </c>
      <c r="D146">
        <f t="shared" si="71"/>
        <v>4</v>
      </c>
      <c r="E146">
        <f t="shared" si="72"/>
        <v>1</v>
      </c>
      <c r="F146">
        <f t="shared" si="73"/>
        <v>2</v>
      </c>
      <c r="G146">
        <f t="shared" si="74"/>
        <v>0</v>
      </c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  <c r="AX146" s="29"/>
      <c r="AY146" s="29"/>
      <c r="AZ146" s="29"/>
      <c r="BA146" s="29"/>
      <c r="BB146" s="29"/>
      <c r="BC146" s="29"/>
      <c r="BD146" s="29"/>
      <c r="BE146" s="29"/>
      <c r="BF146" s="29"/>
      <c r="BG146" s="29"/>
      <c r="BH146" s="29"/>
      <c r="BI146" s="29"/>
      <c r="BJ146" s="29"/>
      <c r="BK146" s="29"/>
    </row>
    <row r="147" spans="1:63" x14ac:dyDescent="0.25">
      <c r="A147" s="29" t="s">
        <v>37</v>
      </c>
      <c r="B147" s="29">
        <v>6</v>
      </c>
      <c r="C147">
        <f t="shared" si="70"/>
        <v>4</v>
      </c>
      <c r="D147">
        <f t="shared" si="71"/>
        <v>6</v>
      </c>
      <c r="E147">
        <f t="shared" si="72"/>
        <v>1</v>
      </c>
      <c r="F147">
        <f t="shared" si="73"/>
        <v>3</v>
      </c>
      <c r="G147">
        <f t="shared" si="74"/>
        <v>0</v>
      </c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  <c r="AX147" s="29"/>
      <c r="AY147" s="29"/>
      <c r="AZ147" s="29"/>
      <c r="BA147" s="29"/>
      <c r="BB147" s="29"/>
      <c r="BC147" s="29"/>
      <c r="BD147" s="29"/>
      <c r="BE147" s="29"/>
      <c r="BF147" s="29"/>
      <c r="BG147" s="29"/>
      <c r="BH147" s="29"/>
      <c r="BI147" s="29"/>
      <c r="BJ147" s="29"/>
      <c r="BK147" s="29"/>
    </row>
    <row r="148" spans="1:63" x14ac:dyDescent="0.25">
      <c r="A148" s="29" t="s">
        <v>5</v>
      </c>
      <c r="B148" s="29">
        <v>6</v>
      </c>
      <c r="C148">
        <f t="shared" si="70"/>
        <v>4</v>
      </c>
      <c r="D148">
        <f t="shared" si="71"/>
        <v>4</v>
      </c>
      <c r="E148">
        <f t="shared" si="72"/>
        <v>1</v>
      </c>
      <c r="F148">
        <f t="shared" si="73"/>
        <v>2</v>
      </c>
      <c r="G148">
        <f t="shared" si="74"/>
        <v>0</v>
      </c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  <c r="AX148" s="29"/>
      <c r="AY148" s="29"/>
      <c r="AZ148" s="29"/>
      <c r="BA148" s="29"/>
      <c r="BB148" s="29"/>
      <c r="BC148" s="29"/>
      <c r="BD148" s="29"/>
      <c r="BE148" s="29"/>
      <c r="BF148" s="29"/>
      <c r="BG148" s="29"/>
      <c r="BH148" s="29"/>
      <c r="BI148" s="29"/>
      <c r="BJ148" s="29"/>
      <c r="BK148" s="29"/>
    </row>
    <row r="149" spans="1:63" x14ac:dyDescent="0.25">
      <c r="A149" s="29" t="s">
        <v>7</v>
      </c>
      <c r="B149" s="29">
        <v>7</v>
      </c>
      <c r="C149">
        <f t="shared" si="70"/>
        <v>2</v>
      </c>
      <c r="D149">
        <f t="shared" si="71"/>
        <v>6</v>
      </c>
      <c r="E149">
        <f t="shared" si="72"/>
        <v>-1</v>
      </c>
      <c r="F149">
        <f t="shared" si="73"/>
        <v>0</v>
      </c>
      <c r="G149">
        <f t="shared" si="74"/>
        <v>0</v>
      </c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  <c r="AX149" s="29"/>
      <c r="AY149" s="29"/>
      <c r="AZ149" s="29"/>
      <c r="BA149" s="29"/>
      <c r="BB149" s="29"/>
      <c r="BC149" s="29"/>
      <c r="BD149" s="29"/>
      <c r="BE149" s="29"/>
      <c r="BF149" s="29"/>
      <c r="BG149" s="29"/>
      <c r="BH149" s="29"/>
      <c r="BI149" s="29"/>
      <c r="BJ149" s="29"/>
      <c r="BK149" s="29"/>
    </row>
    <row r="150" spans="1:63" x14ac:dyDescent="0.25">
      <c r="A150" s="29" t="s">
        <v>4</v>
      </c>
      <c r="B150" s="29">
        <v>5</v>
      </c>
      <c r="C150">
        <f t="shared" si="70"/>
        <v>2</v>
      </c>
      <c r="D150">
        <f t="shared" si="71"/>
        <v>6</v>
      </c>
      <c r="E150">
        <f t="shared" si="72"/>
        <v>-1</v>
      </c>
      <c r="F150">
        <f t="shared" si="73"/>
        <v>0</v>
      </c>
      <c r="G150">
        <f t="shared" si="74"/>
        <v>0</v>
      </c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  <c r="AX150" s="29"/>
      <c r="AY150" s="29"/>
      <c r="AZ150" s="29"/>
      <c r="BA150" s="29"/>
      <c r="BB150" s="29"/>
      <c r="BC150" s="29"/>
      <c r="BD150" s="29"/>
      <c r="BE150" s="29"/>
      <c r="BF150" s="29"/>
      <c r="BG150" s="29"/>
      <c r="BH150" s="29"/>
      <c r="BI150" s="29"/>
      <c r="BJ150" s="29"/>
      <c r="BK150" s="29"/>
    </row>
    <row r="151" spans="1:63" x14ac:dyDescent="0.25">
      <c r="A151" s="29" t="s">
        <v>3</v>
      </c>
      <c r="B151" s="29">
        <v>6</v>
      </c>
      <c r="C151">
        <f t="shared" si="70"/>
        <v>4</v>
      </c>
      <c r="D151">
        <f t="shared" si="71"/>
        <v>6</v>
      </c>
      <c r="E151">
        <f t="shared" si="72"/>
        <v>1</v>
      </c>
      <c r="F151">
        <f t="shared" si="73"/>
        <v>3</v>
      </c>
      <c r="G151">
        <f t="shared" si="74"/>
        <v>0</v>
      </c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  <c r="AX151" s="29"/>
      <c r="AY151" s="29"/>
      <c r="AZ151" s="29"/>
      <c r="BA151" s="29"/>
      <c r="BB151" s="29"/>
      <c r="BC151" s="29"/>
      <c r="BD151" s="29"/>
      <c r="BE151" s="29"/>
      <c r="BF151" s="29"/>
      <c r="BG151" s="29"/>
      <c r="BH151" s="29"/>
      <c r="BI151" s="29"/>
      <c r="BJ151" s="29"/>
      <c r="BK151" s="29"/>
    </row>
    <row r="152" spans="1:63" x14ac:dyDescent="0.25">
      <c r="A152" s="29"/>
      <c r="B152" s="29"/>
    </row>
    <row r="153" spans="1:63" x14ac:dyDescent="0.25">
      <c r="A153" s="33" t="s">
        <v>97</v>
      </c>
      <c r="F153">
        <f ca="1">SUM(OFFSET(F154,,,8/nbrCell))</f>
        <v>13</v>
      </c>
      <c r="G153">
        <f ca="1">SUM(OFFSET(G154,,,8/nbrCell))</f>
        <v>3</v>
      </c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</row>
    <row r="154" spans="1:63" x14ac:dyDescent="0.25">
      <c r="A154" s="29" t="s">
        <v>35</v>
      </c>
      <c r="B154" s="29">
        <v>5</v>
      </c>
      <c r="C154">
        <f t="shared" ref="C154:C161" si="75">VLOOKUP(A154,result,2)</f>
        <v>4</v>
      </c>
      <c r="D154">
        <f t="shared" ref="D154:D161" si="76">VLOOKUP(A154,resTot,5)</f>
        <v>6</v>
      </c>
      <c r="E154">
        <f t="shared" ref="E154:E161" si="77">IF(ISNA(VLOOKUP(A154,resTot,6)),0,VLOOKUP(A154,resTot,6))</f>
        <v>1</v>
      </c>
      <c r="F154">
        <f t="shared" ref="F154:F161" si="78">IF(E154&lt;0,0,    IF(AND(E154&gt;0,B154=D154 ),pointsSerie+pointsPoints,  IF(E154&gt;0,pointsSerie,0)  )  )</f>
        <v>2</v>
      </c>
      <c r="G154">
        <f t="shared" ref="G154:G161" si="79">IF(E154=0,   IF(B154-D154 &gt;= 4 -C154, pointsSerie+pointsPoints,    IF(7-D154 &gt;= 4 -C154, pointsSerie, 0)  ),    0  )</f>
        <v>0</v>
      </c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</row>
    <row r="155" spans="1:63" x14ac:dyDescent="0.25">
      <c r="A155" s="29" t="s">
        <v>31</v>
      </c>
      <c r="B155" s="29">
        <v>7</v>
      </c>
      <c r="C155">
        <f t="shared" si="75"/>
        <v>3</v>
      </c>
      <c r="D155">
        <f t="shared" si="76"/>
        <v>6</v>
      </c>
      <c r="E155">
        <f t="shared" si="77"/>
        <v>0</v>
      </c>
      <c r="F155">
        <f t="shared" si="78"/>
        <v>0</v>
      </c>
      <c r="G155">
        <f t="shared" si="79"/>
        <v>3</v>
      </c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</row>
    <row r="156" spans="1:63" x14ac:dyDescent="0.25">
      <c r="A156" s="29" t="s">
        <v>2</v>
      </c>
      <c r="B156" s="29">
        <v>6</v>
      </c>
      <c r="C156">
        <f t="shared" si="75"/>
        <v>4</v>
      </c>
      <c r="D156">
        <f t="shared" si="76"/>
        <v>4</v>
      </c>
      <c r="E156">
        <f t="shared" si="77"/>
        <v>1</v>
      </c>
      <c r="F156">
        <f t="shared" si="78"/>
        <v>2</v>
      </c>
      <c r="G156">
        <f t="shared" si="79"/>
        <v>0</v>
      </c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</row>
    <row r="157" spans="1:63" x14ac:dyDescent="0.25">
      <c r="A157" s="29" t="s">
        <v>37</v>
      </c>
      <c r="B157" s="29">
        <v>7</v>
      </c>
      <c r="C157">
        <f t="shared" si="75"/>
        <v>4</v>
      </c>
      <c r="D157">
        <f t="shared" si="76"/>
        <v>6</v>
      </c>
      <c r="E157">
        <f t="shared" si="77"/>
        <v>1</v>
      </c>
      <c r="F157">
        <f t="shared" si="78"/>
        <v>2</v>
      </c>
      <c r="G157">
        <f t="shared" si="79"/>
        <v>0</v>
      </c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</row>
    <row r="158" spans="1:63" x14ac:dyDescent="0.25">
      <c r="A158" s="29" t="s">
        <v>5</v>
      </c>
      <c r="B158" s="29">
        <v>4</v>
      </c>
      <c r="C158">
        <f t="shared" si="75"/>
        <v>4</v>
      </c>
      <c r="D158">
        <f t="shared" si="76"/>
        <v>4</v>
      </c>
      <c r="E158">
        <f t="shared" si="77"/>
        <v>1</v>
      </c>
      <c r="F158">
        <f t="shared" si="78"/>
        <v>3</v>
      </c>
      <c r="G158">
        <f t="shared" si="79"/>
        <v>0</v>
      </c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</row>
    <row r="159" spans="1:63" x14ac:dyDescent="0.25">
      <c r="A159" s="29" t="s">
        <v>7</v>
      </c>
      <c r="B159" s="29">
        <v>6</v>
      </c>
      <c r="C159">
        <f t="shared" si="75"/>
        <v>2</v>
      </c>
      <c r="D159">
        <f t="shared" si="76"/>
        <v>6</v>
      </c>
      <c r="E159">
        <f t="shared" si="77"/>
        <v>-1</v>
      </c>
      <c r="F159">
        <f t="shared" si="78"/>
        <v>0</v>
      </c>
      <c r="G159">
        <f t="shared" si="79"/>
        <v>0</v>
      </c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</row>
    <row r="160" spans="1:63" x14ac:dyDescent="0.25">
      <c r="A160" s="29" t="s">
        <v>34</v>
      </c>
      <c r="B160" s="29">
        <v>7</v>
      </c>
      <c r="C160">
        <f t="shared" si="75"/>
        <v>4</v>
      </c>
      <c r="D160">
        <f t="shared" si="76"/>
        <v>6</v>
      </c>
      <c r="E160">
        <f t="shared" si="77"/>
        <v>1</v>
      </c>
      <c r="F160">
        <f t="shared" si="78"/>
        <v>2</v>
      </c>
      <c r="G160">
        <f t="shared" si="79"/>
        <v>0</v>
      </c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</row>
    <row r="161" spans="1:20" x14ac:dyDescent="0.25">
      <c r="A161" s="29" t="s">
        <v>3</v>
      </c>
      <c r="B161" s="29">
        <v>5</v>
      </c>
      <c r="C161">
        <f t="shared" si="75"/>
        <v>4</v>
      </c>
      <c r="D161">
        <f t="shared" si="76"/>
        <v>6</v>
      </c>
      <c r="E161">
        <f t="shared" si="77"/>
        <v>1</v>
      </c>
      <c r="F161">
        <f t="shared" si="78"/>
        <v>2</v>
      </c>
      <c r="G161">
        <f t="shared" si="79"/>
        <v>0</v>
      </c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</row>
    <row r="162" spans="1:20" x14ac:dyDescent="0.25">
      <c r="A162" s="29"/>
      <c r="B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</row>
    <row r="163" spans="1:20" x14ac:dyDescent="0.25">
      <c r="A163" s="33" t="s">
        <v>68</v>
      </c>
      <c r="F163">
        <f ca="1">SUM(OFFSET(F164,,,8/nbrCell))</f>
        <v>7</v>
      </c>
      <c r="G163">
        <f ca="1">SUM(OFFSET(G164,,,8/nbrCell))</f>
        <v>2</v>
      </c>
    </row>
    <row r="164" spans="1:20" x14ac:dyDescent="0.25">
      <c r="A164" s="29" t="s">
        <v>0</v>
      </c>
      <c r="B164" s="29">
        <v>7</v>
      </c>
      <c r="C164">
        <f t="shared" ref="C164:C171" si="80">VLOOKUP(A164,result,2)</f>
        <v>2</v>
      </c>
      <c r="D164">
        <f t="shared" ref="D164:D171" si="81">VLOOKUP(A164,resTot,5)</f>
        <v>6</v>
      </c>
      <c r="E164">
        <f t="shared" ref="E164:E171" si="82">IF(ISNA(VLOOKUP(A164,resTot,6)),0,VLOOKUP(A164,resTot,6))</f>
        <v>-1</v>
      </c>
      <c r="F164">
        <f t="shared" ref="F164:F171" si="83">IF(E164&lt;0,0,    IF(AND(E164&gt;0,B164=D164 ),pointsSerie+pointsPoints,  IF(E164&gt;0,pointsSerie,0)  )  )</f>
        <v>0</v>
      </c>
      <c r="G164">
        <f t="shared" ref="G164:G171" si="84">IF(E164=0,   IF(B164-D164 &gt;= 4 -C164, pointsSerie+pointsPoints,    IF(7-D164 &gt;= 4 -C164, pointsSerie, 0)  ),    0  )</f>
        <v>0</v>
      </c>
    </row>
    <row r="165" spans="1:20" x14ac:dyDescent="0.25">
      <c r="A165" s="29" t="s">
        <v>31</v>
      </c>
      <c r="B165" s="29">
        <v>6</v>
      </c>
      <c r="C165">
        <f t="shared" si="80"/>
        <v>3</v>
      </c>
      <c r="D165">
        <f t="shared" si="81"/>
        <v>6</v>
      </c>
      <c r="E165">
        <f t="shared" si="82"/>
        <v>0</v>
      </c>
      <c r="F165">
        <f t="shared" si="83"/>
        <v>0</v>
      </c>
      <c r="G165">
        <f t="shared" si="84"/>
        <v>2</v>
      </c>
    </row>
    <row r="166" spans="1:20" x14ac:dyDescent="0.25">
      <c r="A166" s="29" t="s">
        <v>2</v>
      </c>
      <c r="B166" s="29">
        <v>5</v>
      </c>
      <c r="C166">
        <f t="shared" si="80"/>
        <v>4</v>
      </c>
      <c r="D166">
        <f t="shared" si="81"/>
        <v>4</v>
      </c>
      <c r="E166">
        <f t="shared" si="82"/>
        <v>1</v>
      </c>
      <c r="F166">
        <f t="shared" si="83"/>
        <v>2</v>
      </c>
      <c r="G166">
        <f t="shared" si="84"/>
        <v>0</v>
      </c>
    </row>
    <row r="167" spans="1:20" x14ac:dyDescent="0.25">
      <c r="A167" s="29" t="s">
        <v>36</v>
      </c>
      <c r="B167" s="29">
        <v>6</v>
      </c>
      <c r="C167">
        <f t="shared" si="80"/>
        <v>2</v>
      </c>
      <c r="D167">
        <f t="shared" si="81"/>
        <v>6</v>
      </c>
      <c r="E167">
        <f t="shared" si="82"/>
        <v>-1</v>
      </c>
      <c r="F167">
        <f t="shared" si="83"/>
        <v>0</v>
      </c>
      <c r="G167">
        <f t="shared" si="84"/>
        <v>0</v>
      </c>
    </row>
    <row r="168" spans="1:20" x14ac:dyDescent="0.25">
      <c r="A168" s="29" t="s">
        <v>5</v>
      </c>
      <c r="B168" s="29">
        <v>4</v>
      </c>
      <c r="C168">
        <f t="shared" si="80"/>
        <v>4</v>
      </c>
      <c r="D168">
        <f t="shared" si="81"/>
        <v>4</v>
      </c>
      <c r="E168">
        <f t="shared" si="82"/>
        <v>1</v>
      </c>
      <c r="F168">
        <f t="shared" si="83"/>
        <v>3</v>
      </c>
      <c r="G168">
        <f t="shared" si="84"/>
        <v>0</v>
      </c>
    </row>
    <row r="169" spans="1:20" x14ac:dyDescent="0.25">
      <c r="A169" s="29" t="s">
        <v>6</v>
      </c>
      <c r="B169" s="29">
        <v>7</v>
      </c>
      <c r="C169">
        <f t="shared" si="80"/>
        <v>4</v>
      </c>
      <c r="D169">
        <f t="shared" si="81"/>
        <v>6</v>
      </c>
      <c r="E169">
        <f t="shared" si="82"/>
        <v>1</v>
      </c>
      <c r="F169">
        <f t="shared" si="83"/>
        <v>2</v>
      </c>
      <c r="G169">
        <f t="shared" si="84"/>
        <v>0</v>
      </c>
    </row>
    <row r="170" spans="1:20" x14ac:dyDescent="0.25">
      <c r="A170" s="29" t="s">
        <v>4</v>
      </c>
      <c r="B170" s="29">
        <v>7</v>
      </c>
      <c r="C170">
        <f t="shared" si="80"/>
        <v>2</v>
      </c>
      <c r="D170">
        <f t="shared" si="81"/>
        <v>6</v>
      </c>
      <c r="E170">
        <f t="shared" si="82"/>
        <v>-1</v>
      </c>
      <c r="F170">
        <f t="shared" si="83"/>
        <v>0</v>
      </c>
      <c r="G170">
        <f t="shared" si="84"/>
        <v>0</v>
      </c>
    </row>
    <row r="171" spans="1:20" x14ac:dyDescent="0.25">
      <c r="A171" s="29" t="s">
        <v>33</v>
      </c>
      <c r="B171" s="29">
        <v>6</v>
      </c>
      <c r="C171">
        <f t="shared" si="80"/>
        <v>2</v>
      </c>
      <c r="D171">
        <f t="shared" si="81"/>
        <v>6</v>
      </c>
      <c r="E171">
        <f t="shared" si="82"/>
        <v>-1</v>
      </c>
      <c r="F171">
        <f t="shared" si="83"/>
        <v>0</v>
      </c>
      <c r="G171">
        <f t="shared" si="84"/>
        <v>0</v>
      </c>
    </row>
    <row r="172" spans="1:20" x14ac:dyDescent="0.25">
      <c r="A172" s="29"/>
      <c r="B172" s="29"/>
    </row>
    <row r="173" spans="1:20" x14ac:dyDescent="0.25">
      <c r="A173" s="33" t="s">
        <v>71</v>
      </c>
      <c r="F173">
        <f ca="1">SUM(OFFSET(F174,,,8/nbrCell))</f>
        <v>15</v>
      </c>
      <c r="G173">
        <f ca="1">SUM(OFFSET(G174,,,8/nbrCell))</f>
        <v>2</v>
      </c>
      <c r="J173" s="33"/>
    </row>
    <row r="174" spans="1:20" x14ac:dyDescent="0.25">
      <c r="A174" s="29" t="s">
        <v>35</v>
      </c>
      <c r="B174" s="29">
        <v>7</v>
      </c>
      <c r="C174">
        <f t="shared" ref="C174:C181" si="85">VLOOKUP(A174,result,2)</f>
        <v>4</v>
      </c>
      <c r="D174">
        <f t="shared" ref="D174:D181" si="86">VLOOKUP(A174,resTot,5)</f>
        <v>6</v>
      </c>
      <c r="E174">
        <f t="shared" ref="E174:E181" si="87">IF(ISNA(VLOOKUP(A174,resTot,6)),0,VLOOKUP(A174,resTot,6))</f>
        <v>1</v>
      </c>
      <c r="F174">
        <f t="shared" ref="F174:F181" si="88">IF(E174&lt;0,0,    IF(AND(E174&gt;0,B174=D174 ),pointsSerie+pointsPoints,  IF(E174&gt;0,pointsSerie,0)  )  )</f>
        <v>2</v>
      </c>
      <c r="G174">
        <f t="shared" ref="G174:G181" si="89">IF(E174=0,   IF(B174-D174 &gt;= 4 -C174, pointsSerie+pointsPoints,    IF(7-D174 &gt;= 4 -C174, pointsSerie, 0)  ),    0  )</f>
        <v>0</v>
      </c>
      <c r="J174" s="33"/>
    </row>
    <row r="175" spans="1:20" x14ac:dyDescent="0.25">
      <c r="A175" s="29" t="s">
        <v>31</v>
      </c>
      <c r="B175" s="29">
        <v>6</v>
      </c>
      <c r="C175">
        <f t="shared" si="85"/>
        <v>3</v>
      </c>
      <c r="D175">
        <f t="shared" si="86"/>
        <v>6</v>
      </c>
      <c r="E175">
        <f t="shared" si="87"/>
        <v>0</v>
      </c>
      <c r="F175">
        <f t="shared" si="88"/>
        <v>0</v>
      </c>
      <c r="G175">
        <f t="shared" si="89"/>
        <v>2</v>
      </c>
      <c r="J175" s="33"/>
    </row>
    <row r="176" spans="1:20" x14ac:dyDescent="0.25">
      <c r="A176" s="29" t="s">
        <v>2</v>
      </c>
      <c r="B176" s="29">
        <v>5</v>
      </c>
      <c r="C176">
        <f t="shared" si="85"/>
        <v>4</v>
      </c>
      <c r="D176">
        <f t="shared" si="86"/>
        <v>4</v>
      </c>
      <c r="E176">
        <f t="shared" si="87"/>
        <v>1</v>
      </c>
      <c r="F176">
        <f t="shared" si="88"/>
        <v>2</v>
      </c>
      <c r="G176">
        <f t="shared" si="89"/>
        <v>0</v>
      </c>
      <c r="J176" s="33"/>
    </row>
    <row r="177" spans="1:10" x14ac:dyDescent="0.25">
      <c r="A177" s="29" t="s">
        <v>37</v>
      </c>
      <c r="B177" s="29">
        <v>6</v>
      </c>
      <c r="C177">
        <f t="shared" si="85"/>
        <v>4</v>
      </c>
      <c r="D177">
        <f t="shared" si="86"/>
        <v>6</v>
      </c>
      <c r="E177">
        <f t="shared" si="87"/>
        <v>1</v>
      </c>
      <c r="F177">
        <f t="shared" si="88"/>
        <v>3</v>
      </c>
      <c r="G177">
        <f t="shared" si="89"/>
        <v>0</v>
      </c>
      <c r="J177" s="33"/>
    </row>
    <row r="178" spans="1:10" x14ac:dyDescent="0.25">
      <c r="A178" s="29" t="s">
        <v>5</v>
      </c>
      <c r="B178" s="29">
        <v>4</v>
      </c>
      <c r="C178">
        <f t="shared" si="85"/>
        <v>4</v>
      </c>
      <c r="D178">
        <f t="shared" si="86"/>
        <v>4</v>
      </c>
      <c r="E178">
        <f t="shared" si="87"/>
        <v>1</v>
      </c>
      <c r="F178">
        <f t="shared" si="88"/>
        <v>3</v>
      </c>
      <c r="G178">
        <f t="shared" si="89"/>
        <v>0</v>
      </c>
    </row>
    <row r="179" spans="1:10" x14ac:dyDescent="0.25">
      <c r="A179" s="29" t="s">
        <v>6</v>
      </c>
      <c r="B179" s="29">
        <v>6</v>
      </c>
      <c r="C179">
        <f t="shared" si="85"/>
        <v>4</v>
      </c>
      <c r="D179">
        <f t="shared" si="86"/>
        <v>6</v>
      </c>
      <c r="E179">
        <f t="shared" si="87"/>
        <v>1</v>
      </c>
      <c r="F179">
        <f t="shared" si="88"/>
        <v>3</v>
      </c>
      <c r="G179">
        <f t="shared" si="89"/>
        <v>0</v>
      </c>
    </row>
    <row r="180" spans="1:10" x14ac:dyDescent="0.25">
      <c r="A180" s="29" t="s">
        <v>4</v>
      </c>
      <c r="B180" s="29">
        <v>5</v>
      </c>
      <c r="C180">
        <f t="shared" si="85"/>
        <v>2</v>
      </c>
      <c r="D180">
        <f t="shared" si="86"/>
        <v>6</v>
      </c>
      <c r="E180">
        <f t="shared" si="87"/>
        <v>-1</v>
      </c>
      <c r="F180">
        <f t="shared" si="88"/>
        <v>0</v>
      </c>
      <c r="G180">
        <f t="shared" si="89"/>
        <v>0</v>
      </c>
    </row>
    <row r="181" spans="1:10" x14ac:dyDescent="0.25">
      <c r="A181" s="29" t="s">
        <v>3</v>
      </c>
      <c r="B181" s="29">
        <v>7</v>
      </c>
      <c r="C181">
        <f t="shared" si="85"/>
        <v>4</v>
      </c>
      <c r="D181">
        <f t="shared" si="86"/>
        <v>6</v>
      </c>
      <c r="E181">
        <f t="shared" si="87"/>
        <v>1</v>
      </c>
      <c r="F181">
        <f t="shared" si="88"/>
        <v>2</v>
      </c>
      <c r="G181">
        <f t="shared" si="89"/>
        <v>0</v>
      </c>
    </row>
    <row r="182" spans="1:10" x14ac:dyDescent="0.25">
      <c r="A182" s="29"/>
      <c r="B182" s="29"/>
    </row>
    <row r="183" spans="1:10" x14ac:dyDescent="0.25">
      <c r="A183" s="33" t="s">
        <v>64</v>
      </c>
      <c r="F183">
        <f ca="1">SUM(OFFSET(F184,,,8/nbrCell))</f>
        <v>11</v>
      </c>
      <c r="G183">
        <f ca="1">SUM(OFFSET(G184,,,8/nbrCell))</f>
        <v>2</v>
      </c>
    </row>
    <row r="184" spans="1:10" x14ac:dyDescent="0.25">
      <c r="A184" s="29" t="s">
        <v>35</v>
      </c>
      <c r="B184" s="29">
        <v>6</v>
      </c>
      <c r="C184">
        <f t="shared" ref="C184:C191" si="90">VLOOKUP(A184,result,2)</f>
        <v>4</v>
      </c>
      <c r="D184">
        <f t="shared" ref="D184:D191" si="91">VLOOKUP(A184,resTot,5)</f>
        <v>6</v>
      </c>
      <c r="E184">
        <f t="shared" ref="E184:E191" si="92">IF(ISNA(VLOOKUP(A184,resTot,6)),0,VLOOKUP(A184,resTot,6))</f>
        <v>1</v>
      </c>
      <c r="F184">
        <f t="shared" ref="F184:F191" si="93">IF(E184&lt;0,0,    IF(AND(E184&gt;0,B184=D184 ),pointsSerie+pointsPoints,  IF(E184&gt;0,pointsSerie,0)  )  )</f>
        <v>3</v>
      </c>
      <c r="G184">
        <f t="shared" ref="G184:G191" si="94">IF(E184=0,   IF(B184-D184 &gt;= 4 -C184, pointsSerie+pointsPoints,    IF(7-D184 &gt;= 4 -C184, pointsSerie, 0)  ),    0  )</f>
        <v>0</v>
      </c>
    </row>
    <row r="185" spans="1:10" x14ac:dyDescent="0.25">
      <c r="A185" s="29" t="s">
        <v>1</v>
      </c>
      <c r="B185" s="29">
        <v>6</v>
      </c>
      <c r="C185">
        <f t="shared" si="90"/>
        <v>3</v>
      </c>
      <c r="D185">
        <f t="shared" si="91"/>
        <v>6</v>
      </c>
      <c r="E185">
        <f t="shared" si="92"/>
        <v>0</v>
      </c>
      <c r="F185">
        <f t="shared" si="93"/>
        <v>0</v>
      </c>
      <c r="G185">
        <f t="shared" si="94"/>
        <v>2</v>
      </c>
    </row>
    <row r="186" spans="1:10" x14ac:dyDescent="0.25">
      <c r="A186" s="29" t="s">
        <v>2</v>
      </c>
      <c r="B186" s="29">
        <v>5</v>
      </c>
      <c r="C186">
        <f t="shared" si="90"/>
        <v>4</v>
      </c>
      <c r="D186">
        <f t="shared" si="91"/>
        <v>4</v>
      </c>
      <c r="E186">
        <f t="shared" si="92"/>
        <v>1</v>
      </c>
      <c r="F186">
        <f t="shared" si="93"/>
        <v>2</v>
      </c>
      <c r="G186">
        <f t="shared" si="94"/>
        <v>0</v>
      </c>
    </row>
    <row r="187" spans="1:10" x14ac:dyDescent="0.25">
      <c r="A187" s="29" t="s">
        <v>36</v>
      </c>
      <c r="B187" s="29">
        <v>7</v>
      </c>
      <c r="C187">
        <f t="shared" si="90"/>
        <v>2</v>
      </c>
      <c r="D187">
        <f t="shared" si="91"/>
        <v>6</v>
      </c>
      <c r="E187">
        <f t="shared" si="92"/>
        <v>-1</v>
      </c>
      <c r="F187">
        <f t="shared" si="93"/>
        <v>0</v>
      </c>
      <c r="G187">
        <f t="shared" si="94"/>
        <v>0</v>
      </c>
    </row>
    <row r="188" spans="1:10" x14ac:dyDescent="0.25">
      <c r="A188" s="29" t="s">
        <v>5</v>
      </c>
      <c r="B188" s="29">
        <v>4</v>
      </c>
      <c r="C188">
        <f t="shared" si="90"/>
        <v>4</v>
      </c>
      <c r="D188">
        <f t="shared" si="91"/>
        <v>4</v>
      </c>
      <c r="E188">
        <f t="shared" si="92"/>
        <v>1</v>
      </c>
      <c r="F188">
        <f t="shared" si="93"/>
        <v>3</v>
      </c>
      <c r="G188">
        <f t="shared" si="94"/>
        <v>0</v>
      </c>
    </row>
    <row r="189" spans="1:10" x14ac:dyDescent="0.25">
      <c r="A189" s="29" t="s">
        <v>7</v>
      </c>
      <c r="B189" s="29">
        <v>7</v>
      </c>
      <c r="C189">
        <f t="shared" si="90"/>
        <v>2</v>
      </c>
      <c r="D189">
        <f t="shared" si="91"/>
        <v>6</v>
      </c>
      <c r="E189">
        <f t="shared" si="92"/>
        <v>-1</v>
      </c>
      <c r="F189">
        <f t="shared" si="93"/>
        <v>0</v>
      </c>
      <c r="G189">
        <f t="shared" si="94"/>
        <v>0</v>
      </c>
    </row>
    <row r="190" spans="1:10" x14ac:dyDescent="0.25">
      <c r="A190" s="29" t="s">
        <v>4</v>
      </c>
      <c r="B190" s="29">
        <v>5</v>
      </c>
      <c r="C190">
        <f t="shared" si="90"/>
        <v>2</v>
      </c>
      <c r="D190">
        <f t="shared" si="91"/>
        <v>6</v>
      </c>
      <c r="E190">
        <f t="shared" si="92"/>
        <v>-1</v>
      </c>
      <c r="F190">
        <f t="shared" si="93"/>
        <v>0</v>
      </c>
      <c r="G190">
        <f t="shared" si="94"/>
        <v>0</v>
      </c>
    </row>
    <row r="191" spans="1:10" x14ac:dyDescent="0.25">
      <c r="A191" s="29" t="s">
        <v>3</v>
      </c>
      <c r="B191" s="29">
        <v>6</v>
      </c>
      <c r="C191">
        <f t="shared" si="90"/>
        <v>4</v>
      </c>
      <c r="D191">
        <f t="shared" si="91"/>
        <v>6</v>
      </c>
      <c r="E191">
        <f t="shared" si="92"/>
        <v>1</v>
      </c>
      <c r="F191">
        <f t="shared" si="93"/>
        <v>3</v>
      </c>
      <c r="G191">
        <f t="shared" si="94"/>
        <v>0</v>
      </c>
    </row>
    <row r="192" spans="1:10" x14ac:dyDescent="0.25">
      <c r="A192" s="29"/>
      <c r="B192" s="29"/>
    </row>
    <row r="193" spans="1:7" x14ac:dyDescent="0.25">
      <c r="A193" s="33" t="s">
        <v>73</v>
      </c>
      <c r="F193">
        <f ca="1">SUM(OFFSET(F194,,,8/nbrCell))</f>
        <v>8</v>
      </c>
      <c r="G193">
        <f ca="1">SUM(OFFSET(G194,,,8/nbrCell))</f>
        <v>3</v>
      </c>
    </row>
    <row r="194" spans="1:7" x14ac:dyDescent="0.25">
      <c r="A194" s="29" t="s">
        <v>35</v>
      </c>
      <c r="B194" s="29">
        <v>5</v>
      </c>
      <c r="C194">
        <f t="shared" ref="C194:C201" si="95">VLOOKUP(A194,result,2)</f>
        <v>4</v>
      </c>
      <c r="D194">
        <f t="shared" ref="D194:D201" si="96">VLOOKUP(A194,resTot,5)</f>
        <v>6</v>
      </c>
      <c r="E194">
        <f t="shared" ref="E194:E201" si="97">IF(ISNA(VLOOKUP(A194,resTot,6)),0,VLOOKUP(A194,resTot,6))</f>
        <v>1</v>
      </c>
      <c r="F194">
        <f t="shared" ref="F194:F201" si="98">IF(E194&lt;0,0,    IF(AND(E194&gt;0,B194=D194 ),pointsSerie+pointsPoints,  IF(E194&gt;0,pointsSerie,0)  )  )</f>
        <v>2</v>
      </c>
      <c r="G194">
        <f t="shared" ref="G194:G201" si="99">IF(E194=0,   IF(B194-D194 &gt;= 4 -C194, pointsSerie+pointsPoints,    IF(7-D194 &gt;= 4 -C194, pointsSerie, 0)  ),    0  )</f>
        <v>0</v>
      </c>
    </row>
    <row r="195" spans="1:7" x14ac:dyDescent="0.25">
      <c r="A195" s="29" t="s">
        <v>31</v>
      </c>
      <c r="B195" s="29">
        <v>7</v>
      </c>
      <c r="C195">
        <f t="shared" si="95"/>
        <v>3</v>
      </c>
      <c r="D195">
        <f t="shared" si="96"/>
        <v>6</v>
      </c>
      <c r="E195">
        <f t="shared" si="97"/>
        <v>0</v>
      </c>
      <c r="F195">
        <f t="shared" si="98"/>
        <v>0</v>
      </c>
      <c r="G195">
        <f t="shared" si="99"/>
        <v>3</v>
      </c>
    </row>
    <row r="196" spans="1:7" x14ac:dyDescent="0.25">
      <c r="A196" s="29" t="s">
        <v>2</v>
      </c>
      <c r="B196" s="29">
        <v>5</v>
      </c>
      <c r="C196">
        <f t="shared" si="95"/>
        <v>4</v>
      </c>
      <c r="D196">
        <f t="shared" si="96"/>
        <v>4</v>
      </c>
      <c r="E196">
        <f t="shared" si="97"/>
        <v>1</v>
      </c>
      <c r="F196">
        <f t="shared" si="98"/>
        <v>2</v>
      </c>
      <c r="G196">
        <f t="shared" si="99"/>
        <v>0</v>
      </c>
    </row>
    <row r="197" spans="1:7" x14ac:dyDescent="0.25">
      <c r="A197" s="29" t="s">
        <v>36</v>
      </c>
      <c r="B197" s="29">
        <v>7</v>
      </c>
      <c r="C197">
        <f t="shared" si="95"/>
        <v>2</v>
      </c>
      <c r="D197">
        <f t="shared" si="96"/>
        <v>6</v>
      </c>
      <c r="E197">
        <f t="shared" si="97"/>
        <v>-1</v>
      </c>
      <c r="F197">
        <f t="shared" si="98"/>
        <v>0</v>
      </c>
      <c r="G197">
        <f t="shared" si="99"/>
        <v>0</v>
      </c>
    </row>
    <row r="198" spans="1:7" x14ac:dyDescent="0.25">
      <c r="A198" s="29" t="s">
        <v>5</v>
      </c>
      <c r="B198" s="29">
        <v>5</v>
      </c>
      <c r="C198">
        <f t="shared" si="95"/>
        <v>4</v>
      </c>
      <c r="D198">
        <f t="shared" si="96"/>
        <v>4</v>
      </c>
      <c r="E198">
        <f t="shared" si="97"/>
        <v>1</v>
      </c>
      <c r="F198">
        <f t="shared" si="98"/>
        <v>2</v>
      </c>
      <c r="G198">
        <f t="shared" si="99"/>
        <v>0</v>
      </c>
    </row>
    <row r="199" spans="1:7" x14ac:dyDescent="0.25">
      <c r="A199" s="29" t="s">
        <v>7</v>
      </c>
      <c r="B199" s="29">
        <v>6</v>
      </c>
      <c r="C199">
        <f t="shared" si="95"/>
        <v>2</v>
      </c>
      <c r="D199">
        <f t="shared" si="96"/>
        <v>6</v>
      </c>
      <c r="E199">
        <f t="shared" si="97"/>
        <v>-1</v>
      </c>
      <c r="F199">
        <f t="shared" si="98"/>
        <v>0</v>
      </c>
      <c r="G199">
        <f t="shared" si="99"/>
        <v>0</v>
      </c>
    </row>
    <row r="200" spans="1:7" x14ac:dyDescent="0.25">
      <c r="A200" s="29" t="s">
        <v>4</v>
      </c>
      <c r="B200" s="29">
        <v>7</v>
      </c>
      <c r="C200">
        <f t="shared" si="95"/>
        <v>2</v>
      </c>
      <c r="D200">
        <f t="shared" si="96"/>
        <v>6</v>
      </c>
      <c r="E200">
        <f t="shared" si="97"/>
        <v>-1</v>
      </c>
      <c r="F200">
        <f t="shared" si="98"/>
        <v>0</v>
      </c>
      <c r="G200">
        <f t="shared" si="99"/>
        <v>0</v>
      </c>
    </row>
    <row r="201" spans="1:7" x14ac:dyDescent="0.25">
      <c r="A201" s="29" t="s">
        <v>3</v>
      </c>
      <c r="B201" s="29">
        <v>5</v>
      </c>
      <c r="C201">
        <f t="shared" si="95"/>
        <v>4</v>
      </c>
      <c r="D201">
        <f t="shared" si="96"/>
        <v>6</v>
      </c>
      <c r="E201">
        <f t="shared" si="97"/>
        <v>1</v>
      </c>
      <c r="F201">
        <f t="shared" si="98"/>
        <v>2</v>
      </c>
      <c r="G201">
        <f t="shared" si="99"/>
        <v>0</v>
      </c>
    </row>
    <row r="202" spans="1:7" x14ac:dyDescent="0.25">
      <c r="A202" s="29"/>
      <c r="B202" s="29"/>
    </row>
    <row r="203" spans="1:7" x14ac:dyDescent="0.25">
      <c r="A203" s="33" t="s">
        <v>72</v>
      </c>
      <c r="F203">
        <f ca="1">SUM(OFFSET(F204,,,8/nbrCell))</f>
        <v>3</v>
      </c>
      <c r="G203">
        <f ca="1">SUM(OFFSET(G204,,,8/nbrCell))</f>
        <v>3</v>
      </c>
    </row>
    <row r="204" spans="1:7" x14ac:dyDescent="0.25">
      <c r="A204" s="29" t="s">
        <v>0</v>
      </c>
      <c r="B204" s="29">
        <v>4</v>
      </c>
      <c r="C204">
        <f t="shared" ref="C204:C211" si="100">VLOOKUP(A204,result,2)</f>
        <v>2</v>
      </c>
      <c r="D204">
        <f t="shared" ref="D204:D211" si="101">VLOOKUP(A204,resTot,5)</f>
        <v>6</v>
      </c>
      <c r="E204">
        <f t="shared" ref="E204:E211" si="102">IF(ISNA(VLOOKUP(A204,resTot,6)),0,VLOOKUP(A204,resTot,6))</f>
        <v>-1</v>
      </c>
      <c r="F204">
        <f t="shared" ref="F204:F211" si="103">IF(E204&lt;0,0,    IF(AND(E204&gt;0,B204=D204 ),pointsSerie+pointsPoints,  IF(E204&gt;0,pointsSerie,0)  )  )</f>
        <v>0</v>
      </c>
      <c r="G204">
        <f t="shared" ref="G204:G211" si="104">IF(E204=0,   IF(B204-D204 &gt;= 4 -C204, pointsSerie+pointsPoints,    IF(7-D204 &gt;= 4 -C204, pointsSerie, 0)  ),    0  )</f>
        <v>0</v>
      </c>
    </row>
    <row r="205" spans="1:7" x14ac:dyDescent="0.25">
      <c r="A205" s="29" t="s">
        <v>31</v>
      </c>
      <c r="B205" s="29">
        <v>7</v>
      </c>
      <c r="C205">
        <f t="shared" si="100"/>
        <v>3</v>
      </c>
      <c r="D205">
        <f t="shared" si="101"/>
        <v>6</v>
      </c>
      <c r="E205">
        <f t="shared" si="102"/>
        <v>0</v>
      </c>
      <c r="F205">
        <f t="shared" si="103"/>
        <v>0</v>
      </c>
      <c r="G205">
        <f t="shared" si="104"/>
        <v>3</v>
      </c>
    </row>
    <row r="206" spans="1:7" x14ac:dyDescent="0.25">
      <c r="A206" s="29" t="s">
        <v>30</v>
      </c>
      <c r="B206" s="29">
        <v>5</v>
      </c>
      <c r="C206">
        <f t="shared" si="100"/>
        <v>0</v>
      </c>
      <c r="D206">
        <f t="shared" si="101"/>
        <v>4</v>
      </c>
      <c r="E206">
        <f t="shared" si="102"/>
        <v>-1</v>
      </c>
      <c r="F206">
        <f t="shared" si="103"/>
        <v>0</v>
      </c>
      <c r="G206">
        <f t="shared" si="104"/>
        <v>0</v>
      </c>
    </row>
    <row r="207" spans="1:7" x14ac:dyDescent="0.25">
      <c r="A207" s="29" t="s">
        <v>36</v>
      </c>
      <c r="B207" s="29">
        <v>7</v>
      </c>
      <c r="C207">
        <f t="shared" si="100"/>
        <v>2</v>
      </c>
      <c r="D207">
        <f t="shared" si="101"/>
        <v>6</v>
      </c>
      <c r="E207">
        <f t="shared" si="102"/>
        <v>-1</v>
      </c>
      <c r="F207">
        <f t="shared" si="103"/>
        <v>0</v>
      </c>
      <c r="G207">
        <f t="shared" si="104"/>
        <v>0</v>
      </c>
    </row>
    <row r="208" spans="1:7" x14ac:dyDescent="0.25">
      <c r="A208" s="29" t="s">
        <v>29</v>
      </c>
      <c r="B208" s="29">
        <v>4</v>
      </c>
      <c r="C208">
        <f t="shared" si="100"/>
        <v>0</v>
      </c>
      <c r="D208">
        <f t="shared" si="101"/>
        <v>4</v>
      </c>
      <c r="E208">
        <f t="shared" si="102"/>
        <v>-1</v>
      </c>
      <c r="F208">
        <f t="shared" si="103"/>
        <v>0</v>
      </c>
      <c r="G208">
        <f t="shared" si="104"/>
        <v>0</v>
      </c>
    </row>
    <row r="209" spans="1:24" x14ac:dyDescent="0.25">
      <c r="A209" s="29" t="s">
        <v>7</v>
      </c>
      <c r="B209" s="29">
        <v>7</v>
      </c>
      <c r="C209">
        <f t="shared" si="100"/>
        <v>2</v>
      </c>
      <c r="D209">
        <f t="shared" si="101"/>
        <v>6</v>
      </c>
      <c r="E209">
        <f t="shared" si="102"/>
        <v>-1</v>
      </c>
      <c r="F209">
        <f t="shared" si="103"/>
        <v>0</v>
      </c>
      <c r="G209">
        <f t="shared" si="104"/>
        <v>0</v>
      </c>
    </row>
    <row r="210" spans="1:24" x14ac:dyDescent="0.25">
      <c r="A210" s="29" t="s">
        <v>4</v>
      </c>
      <c r="B210" s="29">
        <v>4</v>
      </c>
      <c r="C210">
        <f t="shared" si="100"/>
        <v>2</v>
      </c>
      <c r="D210">
        <f t="shared" si="101"/>
        <v>6</v>
      </c>
      <c r="E210">
        <f t="shared" si="102"/>
        <v>-1</v>
      </c>
      <c r="F210">
        <f t="shared" si="103"/>
        <v>0</v>
      </c>
      <c r="G210">
        <f t="shared" si="104"/>
        <v>0</v>
      </c>
    </row>
    <row r="211" spans="1:24" x14ac:dyDescent="0.25">
      <c r="A211" s="29" t="s">
        <v>3</v>
      </c>
      <c r="B211" s="29">
        <v>6</v>
      </c>
      <c r="C211">
        <f t="shared" si="100"/>
        <v>4</v>
      </c>
      <c r="D211">
        <f t="shared" si="101"/>
        <v>6</v>
      </c>
      <c r="E211">
        <f t="shared" si="102"/>
        <v>1</v>
      </c>
      <c r="F211">
        <f t="shared" si="103"/>
        <v>3</v>
      </c>
      <c r="G211">
        <f t="shared" si="104"/>
        <v>0</v>
      </c>
    </row>
    <row r="212" spans="1:24" x14ac:dyDescent="0.25">
      <c r="A212" s="29"/>
      <c r="B212" s="29"/>
    </row>
    <row r="213" spans="1:24" x14ac:dyDescent="0.25">
      <c r="A213" s="33" t="s">
        <v>63</v>
      </c>
      <c r="F213">
        <f ca="1">SUM(OFFSET(F214,,,8/nbrCell))</f>
        <v>10</v>
      </c>
      <c r="G213">
        <f ca="1">SUM(OFFSET(G214,,,8/nbrCell))</f>
        <v>2</v>
      </c>
    </row>
    <row r="214" spans="1:24" x14ac:dyDescent="0.25">
      <c r="A214" s="29" t="s">
        <v>35</v>
      </c>
      <c r="B214" s="29">
        <v>6</v>
      </c>
      <c r="C214">
        <f t="shared" ref="C214:C221" si="105">VLOOKUP(A214,result,2)</f>
        <v>4</v>
      </c>
      <c r="D214">
        <f t="shared" ref="D214:D221" si="106">VLOOKUP(A214,resTot,5)</f>
        <v>6</v>
      </c>
      <c r="E214">
        <f t="shared" ref="E214:E221" si="107">IF(ISNA(VLOOKUP(A214,resTot,6)),0,VLOOKUP(A214,resTot,6))</f>
        <v>1</v>
      </c>
      <c r="F214">
        <f t="shared" ref="F214:F221" si="108">IF(E214&lt;0,0,    IF(AND(E214&gt;0,B214=D214 ),pointsSerie+pointsPoints,  IF(E214&gt;0,pointsSerie,0)  )  )</f>
        <v>3</v>
      </c>
      <c r="G214">
        <f t="shared" ref="G214:G221" si="109">IF(E214=0,   IF(B214-D214 &gt;= 4 -C214, pointsSerie+pointsPoints,    IF(7-D214 &gt;= 4 -C214, pointsSerie, 0)  ),    0  )</f>
        <v>0</v>
      </c>
    </row>
    <row r="215" spans="1:24" x14ac:dyDescent="0.25">
      <c r="A215" s="29" t="s">
        <v>1</v>
      </c>
      <c r="B215" s="29">
        <v>5</v>
      </c>
      <c r="C215">
        <f t="shared" si="105"/>
        <v>3</v>
      </c>
      <c r="D215">
        <f t="shared" si="106"/>
        <v>6</v>
      </c>
      <c r="E215">
        <f t="shared" si="107"/>
        <v>0</v>
      </c>
      <c r="F215">
        <f t="shared" si="108"/>
        <v>0</v>
      </c>
      <c r="G215">
        <f t="shared" si="109"/>
        <v>2</v>
      </c>
    </row>
    <row r="216" spans="1:24" x14ac:dyDescent="0.25">
      <c r="A216" s="29" t="s">
        <v>2</v>
      </c>
      <c r="B216" s="29">
        <v>7</v>
      </c>
      <c r="C216">
        <f t="shared" si="105"/>
        <v>4</v>
      </c>
      <c r="D216">
        <f t="shared" si="106"/>
        <v>4</v>
      </c>
      <c r="E216">
        <f t="shared" si="107"/>
        <v>1</v>
      </c>
      <c r="F216">
        <f t="shared" si="108"/>
        <v>2</v>
      </c>
      <c r="G216">
        <f t="shared" si="109"/>
        <v>0</v>
      </c>
    </row>
    <row r="217" spans="1:24" x14ac:dyDescent="0.25">
      <c r="A217" s="29" t="s">
        <v>36</v>
      </c>
      <c r="B217" s="29">
        <v>6</v>
      </c>
      <c r="C217">
        <f t="shared" si="105"/>
        <v>2</v>
      </c>
      <c r="D217">
        <f t="shared" si="106"/>
        <v>6</v>
      </c>
      <c r="E217">
        <f t="shared" si="107"/>
        <v>-1</v>
      </c>
      <c r="F217">
        <f t="shared" si="108"/>
        <v>0</v>
      </c>
      <c r="G217">
        <f t="shared" si="109"/>
        <v>0</v>
      </c>
    </row>
    <row r="218" spans="1:24" x14ac:dyDescent="0.25">
      <c r="A218" s="29" t="s">
        <v>5</v>
      </c>
      <c r="B218" s="29">
        <v>5</v>
      </c>
      <c r="C218">
        <f t="shared" si="105"/>
        <v>4</v>
      </c>
      <c r="D218">
        <f t="shared" si="106"/>
        <v>4</v>
      </c>
      <c r="E218">
        <f t="shared" si="107"/>
        <v>1</v>
      </c>
      <c r="F218">
        <f t="shared" si="108"/>
        <v>2</v>
      </c>
      <c r="G218">
        <f t="shared" si="109"/>
        <v>0</v>
      </c>
    </row>
    <row r="219" spans="1:24" x14ac:dyDescent="0.25">
      <c r="A219" s="29" t="s">
        <v>7</v>
      </c>
      <c r="B219" s="29">
        <v>7</v>
      </c>
      <c r="C219">
        <f t="shared" si="105"/>
        <v>2</v>
      </c>
      <c r="D219">
        <f t="shared" si="106"/>
        <v>6</v>
      </c>
      <c r="E219">
        <f t="shared" si="107"/>
        <v>-1</v>
      </c>
      <c r="F219">
        <f t="shared" si="108"/>
        <v>0</v>
      </c>
      <c r="G219">
        <f t="shared" si="109"/>
        <v>0</v>
      </c>
    </row>
    <row r="220" spans="1:24" x14ac:dyDescent="0.25">
      <c r="A220" s="29" t="s">
        <v>4</v>
      </c>
      <c r="B220" s="29">
        <v>5</v>
      </c>
      <c r="C220">
        <f t="shared" si="105"/>
        <v>2</v>
      </c>
      <c r="D220">
        <f t="shared" si="106"/>
        <v>6</v>
      </c>
      <c r="E220">
        <f t="shared" si="107"/>
        <v>-1</v>
      </c>
      <c r="F220">
        <f t="shared" si="108"/>
        <v>0</v>
      </c>
      <c r="G220">
        <f t="shared" si="109"/>
        <v>0</v>
      </c>
    </row>
    <row r="221" spans="1:24" x14ac:dyDescent="0.25">
      <c r="A221" s="29" t="s">
        <v>3</v>
      </c>
      <c r="B221" s="29">
        <v>6</v>
      </c>
      <c r="C221">
        <f t="shared" si="105"/>
        <v>4</v>
      </c>
      <c r="D221">
        <f t="shared" si="106"/>
        <v>6</v>
      </c>
      <c r="E221">
        <f t="shared" si="107"/>
        <v>1</v>
      </c>
      <c r="F221">
        <f t="shared" si="108"/>
        <v>3</v>
      </c>
      <c r="G221">
        <f t="shared" si="109"/>
        <v>0</v>
      </c>
    </row>
    <row r="222" spans="1:24" x14ac:dyDescent="0.25">
      <c r="A222" s="29"/>
      <c r="B222" s="29"/>
    </row>
    <row r="223" spans="1:24" x14ac:dyDescent="0.25">
      <c r="A223" s="33" t="s">
        <v>78</v>
      </c>
      <c r="F223">
        <f ca="1">SUM(OFFSET(F224,,,8/nbrCell))</f>
        <v>13</v>
      </c>
      <c r="G223">
        <f ca="1">SUM(OFFSET(G224,,,8/nbrCell))</f>
        <v>2</v>
      </c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8"/>
      <c r="W223" s="28"/>
      <c r="X223" s="28"/>
    </row>
    <row r="224" spans="1:24" x14ac:dyDescent="0.25">
      <c r="A224" s="29" t="s">
        <v>35</v>
      </c>
      <c r="B224" s="29">
        <v>6</v>
      </c>
      <c r="C224">
        <f t="shared" ref="C224:C231" si="110">VLOOKUP(A224,result,2)</f>
        <v>4</v>
      </c>
      <c r="D224">
        <f t="shared" ref="D224:D231" si="111">VLOOKUP(A224,resTot,5)</f>
        <v>6</v>
      </c>
      <c r="E224">
        <f t="shared" ref="E224:E231" si="112">IF(ISNA(VLOOKUP(A224,resTot,6)),0,VLOOKUP(A224,resTot,6))</f>
        <v>1</v>
      </c>
      <c r="F224">
        <f t="shared" ref="F224:F231" si="113">IF(E224&lt;0,0,    IF(AND(E224&gt;0,B224=D224 ),pointsSerie+pointsPoints,  IF(E224&gt;0,pointsSerie,0)  )  )</f>
        <v>3</v>
      </c>
      <c r="G224">
        <f t="shared" ref="G224:G231" si="114">IF(E224=0,   IF(B224-D224 &gt;= 4 -C224, pointsSerie+pointsPoints,    IF(7-D224 &gt;= 4 -C224, pointsSerie, 0)  ),    0  )</f>
        <v>0</v>
      </c>
      <c r="I224" s="29"/>
      <c r="J224" s="29"/>
      <c r="K224" s="29"/>
      <c r="L224" s="29"/>
      <c r="M224" s="29"/>
      <c r="N224" s="29"/>
      <c r="O224" s="29"/>
      <c r="P224" s="29"/>
      <c r="Q224" s="29"/>
      <c r="R224" s="29"/>
      <c r="S224" s="29"/>
      <c r="T224" s="29"/>
      <c r="U224" s="29"/>
      <c r="V224" s="29"/>
      <c r="W224" s="29"/>
      <c r="X224" s="29"/>
    </row>
    <row r="225" spans="1:24" x14ac:dyDescent="0.25">
      <c r="A225" s="29" t="s">
        <v>31</v>
      </c>
      <c r="B225" s="29">
        <v>6</v>
      </c>
      <c r="C225">
        <f t="shared" si="110"/>
        <v>3</v>
      </c>
      <c r="D225">
        <f t="shared" si="111"/>
        <v>6</v>
      </c>
      <c r="E225">
        <f t="shared" si="112"/>
        <v>0</v>
      </c>
      <c r="F225">
        <f t="shared" si="113"/>
        <v>0</v>
      </c>
      <c r="G225">
        <f t="shared" si="114"/>
        <v>2</v>
      </c>
      <c r="I225" s="29"/>
      <c r="J225" s="29"/>
      <c r="K225" s="29"/>
      <c r="L225" s="29"/>
      <c r="M225" s="29"/>
      <c r="N225" s="29"/>
      <c r="O225" s="29"/>
      <c r="P225" s="29"/>
      <c r="Q225" s="29"/>
      <c r="R225" s="29"/>
      <c r="S225" s="29"/>
      <c r="T225" s="29"/>
      <c r="U225" s="29"/>
      <c r="V225" s="29"/>
      <c r="W225" s="29"/>
      <c r="X225" s="29"/>
    </row>
    <row r="226" spans="1:24" x14ac:dyDescent="0.25">
      <c r="A226" s="29" t="s">
        <v>2</v>
      </c>
      <c r="B226" s="29">
        <v>6</v>
      </c>
      <c r="C226">
        <f t="shared" si="110"/>
        <v>4</v>
      </c>
      <c r="D226">
        <f t="shared" si="111"/>
        <v>4</v>
      </c>
      <c r="E226">
        <f t="shared" si="112"/>
        <v>1</v>
      </c>
      <c r="F226">
        <f t="shared" si="113"/>
        <v>2</v>
      </c>
      <c r="G226">
        <f t="shared" si="114"/>
        <v>0</v>
      </c>
      <c r="I226" s="29"/>
      <c r="J226" s="29"/>
      <c r="K226" s="29"/>
      <c r="L226" s="29"/>
      <c r="M226" s="29"/>
      <c r="N226" s="29"/>
      <c r="O226" s="29"/>
      <c r="P226" s="29"/>
      <c r="Q226" s="29"/>
      <c r="R226" s="29"/>
      <c r="S226" s="29"/>
      <c r="T226" s="29"/>
      <c r="U226" s="29"/>
      <c r="V226" s="29"/>
      <c r="W226" s="29"/>
      <c r="X226" s="29"/>
    </row>
    <row r="227" spans="1:24" x14ac:dyDescent="0.25">
      <c r="A227" s="29" t="s">
        <v>37</v>
      </c>
      <c r="B227" s="29">
        <v>6</v>
      </c>
      <c r="C227">
        <f t="shared" si="110"/>
        <v>4</v>
      </c>
      <c r="D227">
        <f t="shared" si="111"/>
        <v>6</v>
      </c>
      <c r="E227">
        <f t="shared" si="112"/>
        <v>1</v>
      </c>
      <c r="F227">
        <f t="shared" si="113"/>
        <v>3</v>
      </c>
      <c r="G227">
        <f t="shared" si="114"/>
        <v>0</v>
      </c>
      <c r="I227" s="29"/>
      <c r="J227" s="29"/>
      <c r="K227" s="29"/>
      <c r="L227" s="29"/>
      <c r="M227" s="29"/>
      <c r="N227" s="29"/>
      <c r="O227" s="29"/>
      <c r="P227" s="29"/>
      <c r="Q227" s="29"/>
      <c r="R227" s="29"/>
      <c r="S227" s="29"/>
      <c r="T227" s="29"/>
      <c r="U227" s="29"/>
      <c r="V227" s="29"/>
      <c r="W227" s="29"/>
      <c r="X227" s="29"/>
    </row>
    <row r="228" spans="1:24" x14ac:dyDescent="0.25">
      <c r="A228" s="29" t="s">
        <v>5</v>
      </c>
      <c r="B228" s="29">
        <v>6</v>
      </c>
      <c r="C228">
        <f t="shared" si="110"/>
        <v>4</v>
      </c>
      <c r="D228">
        <f t="shared" si="111"/>
        <v>4</v>
      </c>
      <c r="E228">
        <f t="shared" si="112"/>
        <v>1</v>
      </c>
      <c r="F228">
        <f t="shared" si="113"/>
        <v>2</v>
      </c>
      <c r="G228">
        <f t="shared" si="114"/>
        <v>0</v>
      </c>
      <c r="I228" s="29"/>
      <c r="J228" s="29"/>
      <c r="K228" s="29"/>
      <c r="L228" s="29"/>
      <c r="M228" s="29"/>
      <c r="N228" s="29"/>
      <c r="O228" s="29"/>
      <c r="P228" s="29"/>
      <c r="Q228" s="29"/>
      <c r="R228" s="29"/>
      <c r="S228" s="29"/>
      <c r="T228" s="29"/>
      <c r="U228" s="29"/>
      <c r="V228" s="29"/>
      <c r="W228" s="29"/>
      <c r="X228" s="29"/>
    </row>
    <row r="229" spans="1:24" x14ac:dyDescent="0.25">
      <c r="A229" s="29" t="s">
        <v>7</v>
      </c>
      <c r="B229" s="29">
        <v>6</v>
      </c>
      <c r="C229">
        <f t="shared" si="110"/>
        <v>2</v>
      </c>
      <c r="D229">
        <f t="shared" si="111"/>
        <v>6</v>
      </c>
      <c r="E229">
        <f t="shared" si="112"/>
        <v>-1</v>
      </c>
      <c r="F229">
        <f t="shared" si="113"/>
        <v>0</v>
      </c>
      <c r="G229">
        <f t="shared" si="114"/>
        <v>0</v>
      </c>
      <c r="I229" s="29"/>
      <c r="J229" s="29"/>
      <c r="K229" s="29"/>
      <c r="L229" s="29"/>
      <c r="M229" s="29"/>
      <c r="N229" s="29"/>
      <c r="O229" s="29"/>
      <c r="P229" s="29"/>
      <c r="Q229" s="29"/>
      <c r="R229" s="29"/>
      <c r="S229" s="29"/>
      <c r="T229" s="29"/>
      <c r="U229" s="29"/>
      <c r="V229" s="29"/>
      <c r="W229" s="29"/>
      <c r="X229" s="29"/>
    </row>
    <row r="230" spans="1:24" x14ac:dyDescent="0.25">
      <c r="A230" s="29" t="s">
        <v>4</v>
      </c>
      <c r="B230" s="29">
        <v>6</v>
      </c>
      <c r="C230">
        <f t="shared" si="110"/>
        <v>2</v>
      </c>
      <c r="D230">
        <f t="shared" si="111"/>
        <v>6</v>
      </c>
      <c r="E230">
        <f t="shared" si="112"/>
        <v>-1</v>
      </c>
      <c r="F230">
        <f t="shared" si="113"/>
        <v>0</v>
      </c>
      <c r="G230">
        <f t="shared" si="114"/>
        <v>0</v>
      </c>
      <c r="I230" s="29"/>
      <c r="J230" s="29"/>
      <c r="K230" s="29"/>
      <c r="L230" s="29"/>
      <c r="M230" s="29"/>
      <c r="N230" s="29"/>
      <c r="O230" s="29"/>
      <c r="P230" s="29"/>
      <c r="Q230" s="29"/>
      <c r="R230" s="29"/>
      <c r="S230" s="29"/>
      <c r="T230" s="29"/>
      <c r="U230" s="29"/>
      <c r="V230" s="29"/>
      <c r="W230" s="29"/>
      <c r="X230" s="29"/>
    </row>
    <row r="231" spans="1:24" x14ac:dyDescent="0.25">
      <c r="A231" s="29" t="s">
        <v>3</v>
      </c>
      <c r="B231" s="29">
        <v>6</v>
      </c>
      <c r="C231">
        <f t="shared" si="110"/>
        <v>4</v>
      </c>
      <c r="D231">
        <f t="shared" si="111"/>
        <v>6</v>
      </c>
      <c r="E231">
        <f t="shared" si="112"/>
        <v>1</v>
      </c>
      <c r="F231">
        <f t="shared" si="113"/>
        <v>3</v>
      </c>
      <c r="G231">
        <f t="shared" si="114"/>
        <v>0</v>
      </c>
      <c r="I231" s="29"/>
      <c r="J231" s="29"/>
      <c r="K231" s="29"/>
      <c r="L231" s="29"/>
      <c r="M231" s="29"/>
      <c r="N231" s="29"/>
      <c r="O231" s="29"/>
      <c r="P231" s="29"/>
      <c r="Q231" s="29"/>
      <c r="R231" s="29"/>
      <c r="S231" s="29"/>
      <c r="T231" s="29"/>
      <c r="U231" s="29"/>
      <c r="V231" s="29"/>
      <c r="W231" s="29"/>
      <c r="X231" s="29"/>
    </row>
    <row r="232" spans="1:24" x14ac:dyDescent="0.25">
      <c r="A232" s="29"/>
      <c r="B232" s="29"/>
      <c r="I232" s="29"/>
      <c r="J232" s="29"/>
      <c r="K232" s="29"/>
      <c r="L232" s="29"/>
      <c r="M232" s="29"/>
      <c r="N232" s="29"/>
      <c r="O232" s="29"/>
      <c r="P232" s="29"/>
      <c r="Q232" s="29"/>
      <c r="R232" s="29"/>
      <c r="S232" s="29"/>
      <c r="T232" s="29"/>
      <c r="U232" s="29"/>
      <c r="V232" s="29"/>
      <c r="W232" s="29"/>
      <c r="X232" s="29"/>
    </row>
    <row r="233" spans="1:24" x14ac:dyDescent="0.25">
      <c r="A233" s="33" t="s">
        <v>67</v>
      </c>
      <c r="F233">
        <f ca="1">SUM(OFFSET(F234,,,8/nbrCell))</f>
        <v>9</v>
      </c>
      <c r="G233">
        <f ca="1">SUM(OFFSET(G234,,,8/nbrCell))</f>
        <v>2</v>
      </c>
      <c r="J233" s="33"/>
    </row>
    <row r="234" spans="1:24" x14ac:dyDescent="0.25">
      <c r="A234" s="29" t="s">
        <v>35</v>
      </c>
      <c r="B234" s="29">
        <v>7</v>
      </c>
      <c r="C234">
        <f t="shared" ref="C234:C241" si="115">VLOOKUP(A234,result,2)</f>
        <v>4</v>
      </c>
      <c r="D234">
        <f t="shared" ref="D234:D241" si="116">VLOOKUP(A234,resTot,5)</f>
        <v>6</v>
      </c>
      <c r="E234">
        <f t="shared" ref="E234:E241" si="117">IF(ISNA(VLOOKUP(A234,resTot,6)),0,VLOOKUP(A234,resTot,6))</f>
        <v>1</v>
      </c>
      <c r="F234">
        <f t="shared" ref="F234:F241" si="118">IF(E234&lt;0,0,    IF(AND(E234&gt;0,B234=D234 ),pointsSerie+pointsPoints,  IF(E234&gt;0,pointsSerie,0)  )  )</f>
        <v>2</v>
      </c>
      <c r="G234">
        <f t="shared" ref="G234:G241" si="119">IF(E234=0,   IF(B234-D234 &gt;= 4 -C234, pointsSerie+pointsPoints,    IF(7-D234 &gt;= 4 -C234, pointsSerie, 0)  ),    0  )</f>
        <v>0</v>
      </c>
      <c r="J234" s="33"/>
    </row>
    <row r="235" spans="1:24" x14ac:dyDescent="0.25">
      <c r="A235" s="29" t="s">
        <v>1</v>
      </c>
      <c r="B235" s="29">
        <v>6</v>
      </c>
      <c r="C235">
        <f t="shared" si="115"/>
        <v>3</v>
      </c>
      <c r="D235">
        <f t="shared" si="116"/>
        <v>6</v>
      </c>
      <c r="E235">
        <f t="shared" si="117"/>
        <v>0</v>
      </c>
      <c r="F235">
        <f t="shared" si="118"/>
        <v>0</v>
      </c>
      <c r="G235">
        <f t="shared" si="119"/>
        <v>2</v>
      </c>
      <c r="J235" s="33"/>
    </row>
    <row r="236" spans="1:24" x14ac:dyDescent="0.25">
      <c r="A236" s="29" t="s">
        <v>2</v>
      </c>
      <c r="B236" s="29">
        <v>7</v>
      </c>
      <c r="C236">
        <f t="shared" si="115"/>
        <v>4</v>
      </c>
      <c r="D236">
        <f t="shared" si="116"/>
        <v>4</v>
      </c>
      <c r="E236">
        <f t="shared" si="117"/>
        <v>1</v>
      </c>
      <c r="F236">
        <f t="shared" si="118"/>
        <v>2</v>
      </c>
      <c r="G236">
        <f t="shared" si="119"/>
        <v>0</v>
      </c>
      <c r="J236" s="33"/>
    </row>
    <row r="237" spans="1:24" x14ac:dyDescent="0.25">
      <c r="A237" s="29" t="s">
        <v>36</v>
      </c>
      <c r="B237" s="29">
        <v>7</v>
      </c>
      <c r="C237">
        <f t="shared" si="115"/>
        <v>2</v>
      </c>
      <c r="D237">
        <f t="shared" si="116"/>
        <v>6</v>
      </c>
      <c r="E237">
        <f t="shared" si="117"/>
        <v>-1</v>
      </c>
      <c r="F237">
        <f t="shared" si="118"/>
        <v>0</v>
      </c>
      <c r="G237">
        <f t="shared" si="119"/>
        <v>0</v>
      </c>
      <c r="J237" s="33"/>
    </row>
    <row r="238" spans="1:24" x14ac:dyDescent="0.25">
      <c r="A238" s="29" t="s">
        <v>5</v>
      </c>
      <c r="B238" s="29">
        <v>5</v>
      </c>
      <c r="C238">
        <f t="shared" si="115"/>
        <v>4</v>
      </c>
      <c r="D238">
        <f t="shared" si="116"/>
        <v>4</v>
      </c>
      <c r="E238">
        <f t="shared" si="117"/>
        <v>1</v>
      </c>
      <c r="F238">
        <f t="shared" si="118"/>
        <v>2</v>
      </c>
      <c r="G238">
        <f t="shared" si="119"/>
        <v>0</v>
      </c>
      <c r="J238" s="33"/>
    </row>
    <row r="239" spans="1:24" x14ac:dyDescent="0.25">
      <c r="A239" s="29" t="s">
        <v>7</v>
      </c>
      <c r="B239" s="29">
        <v>7</v>
      </c>
      <c r="C239">
        <f t="shared" si="115"/>
        <v>2</v>
      </c>
      <c r="D239">
        <f t="shared" si="116"/>
        <v>6</v>
      </c>
      <c r="E239">
        <f t="shared" si="117"/>
        <v>-1</v>
      </c>
      <c r="F239">
        <f t="shared" si="118"/>
        <v>0</v>
      </c>
      <c r="G239">
        <f t="shared" si="119"/>
        <v>0</v>
      </c>
    </row>
    <row r="240" spans="1:24" x14ac:dyDescent="0.25">
      <c r="A240" s="29" t="s">
        <v>4</v>
      </c>
      <c r="B240" s="29">
        <v>6</v>
      </c>
      <c r="C240">
        <f t="shared" si="115"/>
        <v>2</v>
      </c>
      <c r="D240">
        <f t="shared" si="116"/>
        <v>6</v>
      </c>
      <c r="E240">
        <f t="shared" si="117"/>
        <v>-1</v>
      </c>
      <c r="F240">
        <f t="shared" si="118"/>
        <v>0</v>
      </c>
      <c r="G240">
        <f t="shared" si="119"/>
        <v>0</v>
      </c>
    </row>
    <row r="241" spans="1:7" x14ac:dyDescent="0.25">
      <c r="A241" s="29" t="s">
        <v>3</v>
      </c>
      <c r="B241" s="29">
        <v>6</v>
      </c>
      <c r="C241">
        <f t="shared" si="115"/>
        <v>4</v>
      </c>
      <c r="D241">
        <f t="shared" si="116"/>
        <v>6</v>
      </c>
      <c r="E241">
        <f t="shared" si="117"/>
        <v>1</v>
      </c>
      <c r="F241">
        <f t="shared" si="118"/>
        <v>3</v>
      </c>
      <c r="G241">
        <f t="shared" si="119"/>
        <v>0</v>
      </c>
    </row>
    <row r="242" spans="1:7" x14ac:dyDescent="0.25">
      <c r="A242" s="29"/>
      <c r="B242" s="29"/>
    </row>
    <row r="243" spans="1:7" x14ac:dyDescent="0.25">
      <c r="A243" s="33" t="s">
        <v>75</v>
      </c>
      <c r="F243">
        <f ca="1">SUM(OFFSET(F244,,,8/nbrCell))</f>
        <v>10</v>
      </c>
      <c r="G243">
        <f ca="1">SUM(OFFSET(G244,,,8/nbrCell))</f>
        <v>2</v>
      </c>
    </row>
    <row r="244" spans="1:7" x14ac:dyDescent="0.25">
      <c r="A244" s="29" t="s">
        <v>35</v>
      </c>
      <c r="B244" s="29">
        <v>6</v>
      </c>
      <c r="C244">
        <f t="shared" ref="C244:C251" si="120">VLOOKUP(A244,result,2)</f>
        <v>4</v>
      </c>
      <c r="D244">
        <f t="shared" ref="D244:D251" si="121">VLOOKUP(A244,resTot,5)</f>
        <v>6</v>
      </c>
      <c r="E244">
        <f t="shared" ref="E244:E251" si="122">IF(ISNA(VLOOKUP(A244,resTot,6)),0,VLOOKUP(A244,resTot,6))</f>
        <v>1</v>
      </c>
      <c r="F244">
        <f t="shared" ref="F244:F251" si="123">IF(E244&lt;0,0,    IF(AND(E244&gt;0,B244=D244 ),pointsSerie+pointsPoints,  IF(E244&gt;0,pointsSerie,0)  )  )</f>
        <v>3</v>
      </c>
      <c r="G244">
        <f t="shared" ref="G244:G251" si="124">IF(E244=0,   IF(B244-D244 &gt;= 4 -C244, pointsSerie+pointsPoints,    IF(7-D244 &gt;= 4 -C244, pointsSerie, 0)  ),    0  )</f>
        <v>0</v>
      </c>
    </row>
    <row r="245" spans="1:7" x14ac:dyDescent="0.25">
      <c r="A245" s="29" t="s">
        <v>31</v>
      </c>
      <c r="B245" s="29">
        <v>5</v>
      </c>
      <c r="C245">
        <f t="shared" si="120"/>
        <v>3</v>
      </c>
      <c r="D245">
        <f t="shared" si="121"/>
        <v>6</v>
      </c>
      <c r="E245">
        <f t="shared" si="122"/>
        <v>0</v>
      </c>
      <c r="F245">
        <f t="shared" si="123"/>
        <v>0</v>
      </c>
      <c r="G245">
        <f t="shared" si="124"/>
        <v>2</v>
      </c>
    </row>
    <row r="246" spans="1:7" x14ac:dyDescent="0.25">
      <c r="A246" s="29" t="s">
        <v>2</v>
      </c>
      <c r="B246" s="29">
        <v>6</v>
      </c>
      <c r="C246">
        <f t="shared" si="120"/>
        <v>4</v>
      </c>
      <c r="D246">
        <f t="shared" si="121"/>
        <v>4</v>
      </c>
      <c r="E246">
        <f t="shared" si="122"/>
        <v>1</v>
      </c>
      <c r="F246">
        <f t="shared" si="123"/>
        <v>2</v>
      </c>
      <c r="G246">
        <f t="shared" si="124"/>
        <v>0</v>
      </c>
    </row>
    <row r="247" spans="1:7" x14ac:dyDescent="0.25">
      <c r="A247" s="29" t="s">
        <v>36</v>
      </c>
      <c r="B247" s="29">
        <v>7</v>
      </c>
      <c r="C247">
        <f t="shared" si="120"/>
        <v>2</v>
      </c>
      <c r="D247">
        <f t="shared" si="121"/>
        <v>6</v>
      </c>
      <c r="E247">
        <f t="shared" si="122"/>
        <v>-1</v>
      </c>
      <c r="F247">
        <f t="shared" si="123"/>
        <v>0</v>
      </c>
      <c r="G247">
        <f t="shared" si="124"/>
        <v>0</v>
      </c>
    </row>
    <row r="248" spans="1:7" x14ac:dyDescent="0.25">
      <c r="A248" s="29" t="s">
        <v>5</v>
      </c>
      <c r="B248" s="29">
        <v>4</v>
      </c>
      <c r="C248">
        <f t="shared" si="120"/>
        <v>4</v>
      </c>
      <c r="D248">
        <f t="shared" si="121"/>
        <v>4</v>
      </c>
      <c r="E248">
        <f t="shared" si="122"/>
        <v>1</v>
      </c>
      <c r="F248">
        <f t="shared" si="123"/>
        <v>3</v>
      </c>
      <c r="G248">
        <f t="shared" si="124"/>
        <v>0</v>
      </c>
    </row>
    <row r="249" spans="1:7" x14ac:dyDescent="0.25">
      <c r="A249" s="29" t="s">
        <v>7</v>
      </c>
      <c r="B249" s="29">
        <v>6</v>
      </c>
      <c r="C249">
        <f t="shared" si="120"/>
        <v>2</v>
      </c>
      <c r="D249">
        <f t="shared" si="121"/>
        <v>6</v>
      </c>
      <c r="E249">
        <f t="shared" si="122"/>
        <v>-1</v>
      </c>
      <c r="F249">
        <f t="shared" si="123"/>
        <v>0</v>
      </c>
      <c r="G249">
        <f t="shared" si="124"/>
        <v>0</v>
      </c>
    </row>
    <row r="250" spans="1:7" x14ac:dyDescent="0.25">
      <c r="A250" s="29" t="s">
        <v>4</v>
      </c>
      <c r="B250" s="29">
        <v>6</v>
      </c>
      <c r="C250">
        <f t="shared" si="120"/>
        <v>2</v>
      </c>
      <c r="D250">
        <f t="shared" si="121"/>
        <v>6</v>
      </c>
      <c r="E250">
        <f t="shared" si="122"/>
        <v>-1</v>
      </c>
      <c r="F250">
        <f t="shared" si="123"/>
        <v>0</v>
      </c>
      <c r="G250">
        <f t="shared" si="124"/>
        <v>0</v>
      </c>
    </row>
    <row r="251" spans="1:7" x14ac:dyDescent="0.25">
      <c r="A251" s="29" t="s">
        <v>3</v>
      </c>
      <c r="B251" s="29">
        <v>5</v>
      </c>
      <c r="C251">
        <f t="shared" si="120"/>
        <v>4</v>
      </c>
      <c r="D251">
        <f t="shared" si="121"/>
        <v>6</v>
      </c>
      <c r="E251">
        <f t="shared" si="122"/>
        <v>1</v>
      </c>
      <c r="F251">
        <f t="shared" si="123"/>
        <v>2</v>
      </c>
      <c r="G251">
        <f t="shared" si="124"/>
        <v>0</v>
      </c>
    </row>
    <row r="252" spans="1:7" x14ac:dyDescent="0.25">
      <c r="A252" s="29"/>
      <c r="B252" s="29"/>
    </row>
    <row r="253" spans="1:7" x14ac:dyDescent="0.25">
      <c r="A253" s="33" t="s">
        <v>65</v>
      </c>
      <c r="F253">
        <f ca="1">SUM(OFFSET(F254,,,8/nbrCell))</f>
        <v>10</v>
      </c>
      <c r="G253">
        <f ca="1">SUM(OFFSET(G254,,,8/nbrCell))</f>
        <v>3</v>
      </c>
    </row>
    <row r="254" spans="1:7" x14ac:dyDescent="0.25">
      <c r="A254" s="29" t="s">
        <v>35</v>
      </c>
      <c r="B254" s="29">
        <v>6</v>
      </c>
      <c r="C254">
        <f t="shared" ref="C254:C261" si="125">VLOOKUP(A254,result,2)</f>
        <v>4</v>
      </c>
      <c r="D254">
        <f t="shared" ref="D254:D261" si="126">VLOOKUP(A254,resTot,5)</f>
        <v>6</v>
      </c>
      <c r="E254">
        <f t="shared" ref="E254:E261" si="127">IF(ISNA(VLOOKUP(A254,resTot,6)),0,VLOOKUP(A254,resTot,6))</f>
        <v>1</v>
      </c>
      <c r="F254">
        <f t="shared" ref="F254:F261" si="128">IF(E254&lt;0,0,    IF(AND(E254&gt;0,B254=D254 ),pointsSerie+pointsPoints,  IF(E254&gt;0,pointsSerie,0)  )  )</f>
        <v>3</v>
      </c>
      <c r="G254">
        <f t="shared" ref="G254:G261" si="129">IF(E254=0,   IF(B254-D254 &gt;= 4 -C254, pointsSerie+pointsPoints,    IF(7-D254 &gt;= 4 -C254, pointsSerie, 0)  ),    0  )</f>
        <v>0</v>
      </c>
    </row>
    <row r="255" spans="1:7" x14ac:dyDescent="0.25">
      <c r="A255" s="29" t="s">
        <v>31</v>
      </c>
      <c r="B255" s="29">
        <v>7</v>
      </c>
      <c r="C255">
        <f t="shared" si="125"/>
        <v>3</v>
      </c>
      <c r="D255">
        <f t="shared" si="126"/>
        <v>6</v>
      </c>
      <c r="E255">
        <f t="shared" si="127"/>
        <v>0</v>
      </c>
      <c r="F255">
        <f t="shared" si="128"/>
        <v>0</v>
      </c>
      <c r="G255">
        <f t="shared" si="129"/>
        <v>3</v>
      </c>
    </row>
    <row r="256" spans="1:7" x14ac:dyDescent="0.25">
      <c r="A256" s="29" t="s">
        <v>2</v>
      </c>
      <c r="B256" s="29">
        <v>5</v>
      </c>
      <c r="C256">
        <f t="shared" si="125"/>
        <v>4</v>
      </c>
      <c r="D256">
        <f t="shared" si="126"/>
        <v>4</v>
      </c>
      <c r="E256">
        <f t="shared" si="127"/>
        <v>1</v>
      </c>
      <c r="F256">
        <f t="shared" si="128"/>
        <v>2</v>
      </c>
      <c r="G256">
        <f t="shared" si="129"/>
        <v>0</v>
      </c>
    </row>
    <row r="257" spans="1:7" x14ac:dyDescent="0.25">
      <c r="A257" s="29" t="s">
        <v>36</v>
      </c>
      <c r="B257" s="29">
        <v>6</v>
      </c>
      <c r="C257">
        <f t="shared" si="125"/>
        <v>2</v>
      </c>
      <c r="D257">
        <f t="shared" si="126"/>
        <v>6</v>
      </c>
      <c r="E257">
        <f t="shared" si="127"/>
        <v>-1</v>
      </c>
      <c r="F257">
        <f t="shared" si="128"/>
        <v>0</v>
      </c>
      <c r="G257">
        <f t="shared" si="129"/>
        <v>0</v>
      </c>
    </row>
    <row r="258" spans="1:7" x14ac:dyDescent="0.25">
      <c r="A258" s="29" t="s">
        <v>5</v>
      </c>
      <c r="B258" s="29">
        <v>5</v>
      </c>
      <c r="C258">
        <f t="shared" si="125"/>
        <v>4</v>
      </c>
      <c r="D258">
        <f t="shared" si="126"/>
        <v>4</v>
      </c>
      <c r="E258">
        <f t="shared" si="127"/>
        <v>1</v>
      </c>
      <c r="F258">
        <f t="shared" si="128"/>
        <v>2</v>
      </c>
      <c r="G258">
        <f t="shared" si="129"/>
        <v>0</v>
      </c>
    </row>
    <row r="259" spans="1:7" x14ac:dyDescent="0.25">
      <c r="A259" s="29" t="s">
        <v>7</v>
      </c>
      <c r="B259" s="29">
        <v>7</v>
      </c>
      <c r="C259">
        <f t="shared" si="125"/>
        <v>2</v>
      </c>
      <c r="D259">
        <f t="shared" si="126"/>
        <v>6</v>
      </c>
      <c r="E259">
        <f t="shared" si="127"/>
        <v>-1</v>
      </c>
      <c r="F259">
        <f t="shared" si="128"/>
        <v>0</v>
      </c>
      <c r="G259">
        <f t="shared" si="129"/>
        <v>0</v>
      </c>
    </row>
    <row r="260" spans="1:7" x14ac:dyDescent="0.25">
      <c r="A260" s="29" t="s">
        <v>4</v>
      </c>
      <c r="B260" s="29">
        <v>5</v>
      </c>
      <c r="C260">
        <f t="shared" si="125"/>
        <v>2</v>
      </c>
      <c r="D260">
        <f t="shared" si="126"/>
        <v>6</v>
      </c>
      <c r="E260">
        <f t="shared" si="127"/>
        <v>-1</v>
      </c>
      <c r="F260">
        <f t="shared" si="128"/>
        <v>0</v>
      </c>
      <c r="G260">
        <f t="shared" si="129"/>
        <v>0</v>
      </c>
    </row>
    <row r="261" spans="1:7" x14ac:dyDescent="0.25">
      <c r="A261" s="29" t="s">
        <v>3</v>
      </c>
      <c r="B261" s="29">
        <v>6</v>
      </c>
      <c r="C261">
        <f t="shared" si="125"/>
        <v>4</v>
      </c>
      <c r="D261">
        <f t="shared" si="126"/>
        <v>6</v>
      </c>
      <c r="E261">
        <f t="shared" si="127"/>
        <v>1</v>
      </c>
      <c r="F261">
        <f t="shared" si="128"/>
        <v>3</v>
      </c>
      <c r="G261">
        <f t="shared" si="129"/>
        <v>0</v>
      </c>
    </row>
    <row r="262" spans="1:7" x14ac:dyDescent="0.25">
      <c r="A262" s="29"/>
      <c r="B262" s="29"/>
    </row>
    <row r="263" spans="1:7" x14ac:dyDescent="0.25">
      <c r="A263" s="33" t="s">
        <v>79</v>
      </c>
      <c r="F263">
        <f ca="1">SUM(OFFSET(F264,,,8/nbrCell))</f>
        <v>7</v>
      </c>
      <c r="G263">
        <f ca="1">SUM(OFFSET(G264,,,8/nbrCell))</f>
        <v>2</v>
      </c>
    </row>
    <row r="264" spans="1:7" x14ac:dyDescent="0.25">
      <c r="A264" s="29" t="s">
        <v>0</v>
      </c>
      <c r="B264" s="29">
        <v>6</v>
      </c>
      <c r="C264">
        <f t="shared" ref="C264:C271" si="130">VLOOKUP(A264,result,2)</f>
        <v>2</v>
      </c>
      <c r="D264">
        <f t="shared" ref="D264:D271" si="131">VLOOKUP(A264,resTot,5)</f>
        <v>6</v>
      </c>
      <c r="E264">
        <f t="shared" ref="E264:E271" si="132">IF(ISNA(VLOOKUP(A264,resTot,6)),0,VLOOKUP(A264,resTot,6))</f>
        <v>-1</v>
      </c>
      <c r="F264">
        <f t="shared" ref="F264:F271" si="133">IF(E264&lt;0,0,    IF(AND(E264&gt;0,B264=D264 ),pointsSerie+pointsPoints,  IF(E264&gt;0,pointsSerie,0)  )  )</f>
        <v>0</v>
      </c>
      <c r="G264">
        <f t="shared" ref="G264:G271" si="134">IF(E264=0,   IF(B264-D264 &gt;= 4 -C264, pointsSerie+pointsPoints,    IF(7-D264 &gt;= 4 -C264, pointsSerie, 0)  ),    0  )</f>
        <v>0</v>
      </c>
    </row>
    <row r="265" spans="1:7" x14ac:dyDescent="0.25">
      <c r="A265" s="29" t="s">
        <v>1</v>
      </c>
      <c r="B265" s="29">
        <v>6</v>
      </c>
      <c r="C265">
        <f t="shared" si="130"/>
        <v>3</v>
      </c>
      <c r="D265">
        <f t="shared" si="131"/>
        <v>6</v>
      </c>
      <c r="E265">
        <f t="shared" si="132"/>
        <v>0</v>
      </c>
      <c r="F265">
        <f t="shared" si="133"/>
        <v>0</v>
      </c>
      <c r="G265">
        <f t="shared" si="134"/>
        <v>2</v>
      </c>
    </row>
    <row r="266" spans="1:7" x14ac:dyDescent="0.25">
      <c r="A266" s="29" t="s">
        <v>2</v>
      </c>
      <c r="B266" s="29">
        <v>5</v>
      </c>
      <c r="C266">
        <f t="shared" si="130"/>
        <v>4</v>
      </c>
      <c r="D266">
        <f t="shared" si="131"/>
        <v>4</v>
      </c>
      <c r="E266">
        <f t="shared" si="132"/>
        <v>1</v>
      </c>
      <c r="F266">
        <f t="shared" si="133"/>
        <v>2</v>
      </c>
      <c r="G266">
        <f t="shared" si="134"/>
        <v>0</v>
      </c>
    </row>
    <row r="267" spans="1:7" x14ac:dyDescent="0.25">
      <c r="A267" s="29" t="s">
        <v>36</v>
      </c>
      <c r="B267" s="29">
        <v>6</v>
      </c>
      <c r="C267">
        <f t="shared" si="130"/>
        <v>2</v>
      </c>
      <c r="D267">
        <f t="shared" si="131"/>
        <v>6</v>
      </c>
      <c r="E267">
        <f t="shared" si="132"/>
        <v>-1</v>
      </c>
      <c r="F267">
        <f t="shared" si="133"/>
        <v>0</v>
      </c>
      <c r="G267">
        <f t="shared" si="134"/>
        <v>0</v>
      </c>
    </row>
    <row r="268" spans="1:7" x14ac:dyDescent="0.25">
      <c r="A268" s="29" t="s">
        <v>5</v>
      </c>
      <c r="B268" s="29">
        <v>6</v>
      </c>
      <c r="C268">
        <f t="shared" si="130"/>
        <v>4</v>
      </c>
      <c r="D268">
        <f t="shared" si="131"/>
        <v>4</v>
      </c>
      <c r="E268">
        <f t="shared" si="132"/>
        <v>1</v>
      </c>
      <c r="F268">
        <f t="shared" si="133"/>
        <v>2</v>
      </c>
      <c r="G268">
        <f t="shared" si="134"/>
        <v>0</v>
      </c>
    </row>
    <row r="269" spans="1:7" x14ac:dyDescent="0.25">
      <c r="A269" s="29" t="s">
        <v>7</v>
      </c>
      <c r="B269" s="29">
        <v>6</v>
      </c>
      <c r="C269">
        <f t="shared" si="130"/>
        <v>2</v>
      </c>
      <c r="D269">
        <f t="shared" si="131"/>
        <v>6</v>
      </c>
      <c r="E269">
        <f t="shared" si="132"/>
        <v>-1</v>
      </c>
      <c r="F269">
        <f t="shared" si="133"/>
        <v>0</v>
      </c>
      <c r="G269">
        <f t="shared" si="134"/>
        <v>0</v>
      </c>
    </row>
    <row r="270" spans="1:7" x14ac:dyDescent="0.25">
      <c r="A270" s="29" t="s">
        <v>4</v>
      </c>
      <c r="B270" s="29">
        <v>5</v>
      </c>
      <c r="C270">
        <f t="shared" si="130"/>
        <v>2</v>
      </c>
      <c r="D270">
        <f t="shared" si="131"/>
        <v>6</v>
      </c>
      <c r="E270">
        <f t="shared" si="132"/>
        <v>-1</v>
      </c>
      <c r="F270">
        <f t="shared" si="133"/>
        <v>0</v>
      </c>
      <c r="G270">
        <f t="shared" si="134"/>
        <v>0</v>
      </c>
    </row>
    <row r="271" spans="1:7" x14ac:dyDescent="0.25">
      <c r="A271" s="29" t="s">
        <v>3</v>
      </c>
      <c r="B271" s="29">
        <v>6</v>
      </c>
      <c r="C271">
        <f t="shared" si="130"/>
        <v>4</v>
      </c>
      <c r="D271">
        <f t="shared" si="131"/>
        <v>6</v>
      </c>
      <c r="E271">
        <f t="shared" si="132"/>
        <v>1</v>
      </c>
      <c r="F271">
        <f t="shared" si="133"/>
        <v>3</v>
      </c>
      <c r="G271">
        <f t="shared" si="134"/>
        <v>0</v>
      </c>
    </row>
    <row r="272" spans="1:7" x14ac:dyDescent="0.25">
      <c r="A272" s="29"/>
      <c r="B272" s="29"/>
    </row>
    <row r="273" spans="1:7" x14ac:dyDescent="0.25">
      <c r="A273" s="33" t="s">
        <v>74</v>
      </c>
      <c r="F273">
        <f ca="1">SUM(OFFSET(F274,,,8/nbrCell))</f>
        <v>12</v>
      </c>
      <c r="G273">
        <f ca="1">SUM(OFFSET(G274,,,8/nbrCell))</f>
        <v>3</v>
      </c>
    </row>
    <row r="274" spans="1:7" x14ac:dyDescent="0.25">
      <c r="A274" s="29" t="s">
        <v>35</v>
      </c>
      <c r="B274" s="29">
        <v>6</v>
      </c>
      <c r="C274">
        <f t="shared" ref="C274:C281" si="135">VLOOKUP(A274,result,2)</f>
        <v>4</v>
      </c>
      <c r="D274">
        <f t="shared" ref="D274:D281" si="136">VLOOKUP(A274,resTot,5)</f>
        <v>6</v>
      </c>
      <c r="E274">
        <f t="shared" ref="E274:E281" si="137">IF(ISNA(VLOOKUP(A274,resTot,6)),0,VLOOKUP(A274,resTot,6))</f>
        <v>1</v>
      </c>
      <c r="F274">
        <f t="shared" ref="F274:F281" si="138">IF(E274&lt;0,0,    IF(AND(E274&gt;0,B274=D274 ),pointsSerie+pointsPoints,  IF(E274&gt;0,pointsSerie,0)  )  )</f>
        <v>3</v>
      </c>
      <c r="G274">
        <f t="shared" ref="G274:G281" si="139">IF(E274=0,   IF(B274-D274 &gt;= 4 -C274, pointsSerie+pointsPoints,    IF(7-D274 &gt;= 4 -C274, pointsSerie, 0)  ),    0  )</f>
        <v>0</v>
      </c>
    </row>
    <row r="275" spans="1:7" x14ac:dyDescent="0.25">
      <c r="A275" s="29" t="s">
        <v>1</v>
      </c>
      <c r="B275" s="29">
        <v>7</v>
      </c>
      <c r="C275">
        <f t="shared" si="135"/>
        <v>3</v>
      </c>
      <c r="D275">
        <f t="shared" si="136"/>
        <v>6</v>
      </c>
      <c r="E275">
        <f t="shared" si="137"/>
        <v>0</v>
      </c>
      <c r="F275">
        <f t="shared" si="138"/>
        <v>0</v>
      </c>
      <c r="G275">
        <f t="shared" si="139"/>
        <v>3</v>
      </c>
    </row>
    <row r="276" spans="1:7" x14ac:dyDescent="0.25">
      <c r="A276" s="29" t="s">
        <v>2</v>
      </c>
      <c r="B276" s="29">
        <v>6</v>
      </c>
      <c r="C276">
        <f t="shared" si="135"/>
        <v>4</v>
      </c>
      <c r="D276">
        <f t="shared" si="136"/>
        <v>4</v>
      </c>
      <c r="E276">
        <f t="shared" si="137"/>
        <v>1</v>
      </c>
      <c r="F276">
        <f t="shared" si="138"/>
        <v>2</v>
      </c>
      <c r="G276">
        <f t="shared" si="139"/>
        <v>0</v>
      </c>
    </row>
    <row r="277" spans="1:7" x14ac:dyDescent="0.25">
      <c r="A277" s="29" t="s">
        <v>37</v>
      </c>
      <c r="B277" s="29">
        <v>6</v>
      </c>
      <c r="C277">
        <f t="shared" si="135"/>
        <v>4</v>
      </c>
      <c r="D277">
        <f t="shared" si="136"/>
        <v>6</v>
      </c>
      <c r="E277">
        <f t="shared" si="137"/>
        <v>1</v>
      </c>
      <c r="F277">
        <f t="shared" si="138"/>
        <v>3</v>
      </c>
      <c r="G277">
        <f t="shared" si="139"/>
        <v>0</v>
      </c>
    </row>
    <row r="278" spans="1:7" x14ac:dyDescent="0.25">
      <c r="A278" s="29" t="s">
        <v>5</v>
      </c>
      <c r="B278" s="29">
        <v>5</v>
      </c>
      <c r="C278">
        <f t="shared" si="135"/>
        <v>4</v>
      </c>
      <c r="D278">
        <f t="shared" si="136"/>
        <v>4</v>
      </c>
      <c r="E278">
        <f t="shared" si="137"/>
        <v>1</v>
      </c>
      <c r="F278">
        <f t="shared" si="138"/>
        <v>2</v>
      </c>
      <c r="G278">
        <f t="shared" si="139"/>
        <v>0</v>
      </c>
    </row>
    <row r="279" spans="1:7" x14ac:dyDescent="0.25">
      <c r="A279" s="29" t="s">
        <v>7</v>
      </c>
      <c r="B279" s="29">
        <v>6</v>
      </c>
      <c r="C279">
        <f t="shared" si="135"/>
        <v>2</v>
      </c>
      <c r="D279">
        <f t="shared" si="136"/>
        <v>6</v>
      </c>
      <c r="E279">
        <f t="shared" si="137"/>
        <v>-1</v>
      </c>
      <c r="F279">
        <f t="shared" si="138"/>
        <v>0</v>
      </c>
      <c r="G279">
        <f t="shared" si="139"/>
        <v>0</v>
      </c>
    </row>
    <row r="280" spans="1:7" x14ac:dyDescent="0.25">
      <c r="A280" s="29" t="s">
        <v>4</v>
      </c>
      <c r="B280" s="29">
        <v>6</v>
      </c>
      <c r="C280">
        <f t="shared" si="135"/>
        <v>2</v>
      </c>
      <c r="D280">
        <f t="shared" si="136"/>
        <v>6</v>
      </c>
      <c r="E280">
        <f t="shared" si="137"/>
        <v>-1</v>
      </c>
      <c r="F280">
        <f t="shared" si="138"/>
        <v>0</v>
      </c>
      <c r="G280">
        <f t="shared" si="139"/>
        <v>0</v>
      </c>
    </row>
    <row r="281" spans="1:7" x14ac:dyDescent="0.25">
      <c r="A281" s="29" t="s">
        <v>3</v>
      </c>
      <c r="B281" s="29">
        <v>7</v>
      </c>
      <c r="C281">
        <f t="shared" si="135"/>
        <v>4</v>
      </c>
      <c r="D281">
        <f t="shared" si="136"/>
        <v>6</v>
      </c>
      <c r="E281">
        <f t="shared" si="137"/>
        <v>1</v>
      </c>
      <c r="F281">
        <f t="shared" si="138"/>
        <v>2</v>
      </c>
      <c r="G281">
        <f t="shared" si="139"/>
        <v>0</v>
      </c>
    </row>
  </sheetData>
  <sheetProtection sheet="1" objects="1" scenarios="1"/>
  <mergeCells count="3">
    <mergeCell ref="B1:D1"/>
    <mergeCell ref="F1:G1"/>
    <mergeCell ref="E1:E2"/>
  </mergeCells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1C8B5-7871-4B1E-A9B4-EF10A5B65518}">
  <sheetPr codeName="Feuil3"/>
  <dimension ref="A1:CG44"/>
  <sheetViews>
    <sheetView workbookViewId="0">
      <selection activeCell="B5" sqref="B5"/>
    </sheetView>
  </sheetViews>
  <sheetFormatPr baseColWidth="10" defaultColWidth="9.140625" defaultRowHeight="15" x14ac:dyDescent="0.25"/>
  <cols>
    <col min="1" max="1" width="11.5703125" customWidth="1"/>
    <col min="2" max="2" width="20.7109375" customWidth="1"/>
    <col min="3" max="4" width="9.140625" style="7"/>
    <col min="5" max="5" width="17.28515625" customWidth="1"/>
    <col min="6" max="7" width="9.140625" style="7"/>
    <col min="8" max="8" width="14.140625" customWidth="1"/>
    <col min="9" max="10" width="9.140625" style="7"/>
    <col min="11" max="11" width="17.28515625" customWidth="1"/>
    <col min="12" max="13" width="9.140625" style="7"/>
    <col min="14" max="14" width="17.28515625" customWidth="1"/>
    <col min="15" max="16" width="9.140625" style="7"/>
    <col min="17" max="17" width="17.28515625" customWidth="1"/>
    <col min="18" max="19" width="9.140625" style="7"/>
    <col min="20" max="20" width="17.28515625" customWidth="1"/>
    <col min="23" max="23" width="17.28515625" customWidth="1"/>
    <col min="26" max="26" width="14.140625" customWidth="1"/>
    <col min="29" max="29" width="14.140625" customWidth="1"/>
    <col min="32" max="32" width="17.28515625" customWidth="1"/>
    <col min="35" max="35" width="13.140625" customWidth="1"/>
    <col min="38" max="38" width="13.140625" customWidth="1"/>
    <col min="41" max="41" width="14.140625" customWidth="1"/>
    <col min="44" max="44" width="14.140625" customWidth="1"/>
    <col min="47" max="47" width="14.140625" customWidth="1"/>
    <col min="50" max="50" width="13.140625" customWidth="1"/>
    <col min="53" max="53" width="12.5703125" customWidth="1"/>
    <col min="56" max="56" width="14.28515625" customWidth="1"/>
    <col min="59" max="59" width="13.140625" customWidth="1"/>
    <col min="62" max="62" width="17.28515625" customWidth="1"/>
    <col min="65" max="65" width="17.28515625" customWidth="1"/>
    <col min="68" max="68" width="17.28515625" customWidth="1"/>
    <col min="71" max="71" width="17.28515625" customWidth="1"/>
    <col min="74" max="74" width="17.28515625" customWidth="1"/>
    <col min="77" max="77" width="17.28515625" customWidth="1"/>
    <col min="80" max="80" width="17.28515625" customWidth="1"/>
    <col min="83" max="83" width="17.28515625" customWidth="1"/>
  </cols>
  <sheetData>
    <row r="1" spans="1:85" ht="24.75" customHeight="1" x14ac:dyDescent="0.25">
      <c r="A1" s="19" t="s">
        <v>24</v>
      </c>
      <c r="B1" s="20">
        <v>1</v>
      </c>
      <c r="AR1" t="s">
        <v>89</v>
      </c>
    </row>
    <row r="2" spans="1:85" x14ac:dyDescent="0.25">
      <c r="A2" s="30" t="s">
        <v>16</v>
      </c>
      <c r="B2" s="2"/>
      <c r="C2" s="2" t="s">
        <v>11</v>
      </c>
      <c r="D2" s="2" t="s">
        <v>13</v>
      </c>
      <c r="E2" s="2"/>
      <c r="F2" s="2" t="s">
        <v>11</v>
      </c>
      <c r="G2" s="2" t="s">
        <v>13</v>
      </c>
      <c r="H2" s="2"/>
      <c r="I2" s="2" t="s">
        <v>11</v>
      </c>
      <c r="J2" s="2" t="s">
        <v>13</v>
      </c>
      <c r="K2" s="2"/>
      <c r="L2" s="2" t="s">
        <v>11</v>
      </c>
      <c r="M2" s="2" t="s">
        <v>13</v>
      </c>
      <c r="N2" s="2"/>
      <c r="O2" s="2" t="s">
        <v>11</v>
      </c>
      <c r="P2" s="2" t="s">
        <v>13</v>
      </c>
      <c r="Q2" s="2"/>
      <c r="R2" s="2" t="s">
        <v>11</v>
      </c>
      <c r="S2" s="2" t="s">
        <v>13</v>
      </c>
      <c r="T2" s="2"/>
      <c r="U2" s="2" t="s">
        <v>11</v>
      </c>
      <c r="V2" s="2" t="s">
        <v>13</v>
      </c>
      <c r="W2" s="2"/>
      <c r="X2" s="2" t="s">
        <v>11</v>
      </c>
      <c r="Y2" s="2" t="s">
        <v>13</v>
      </c>
      <c r="Z2" s="2"/>
      <c r="AA2" s="2" t="s">
        <v>11</v>
      </c>
      <c r="AB2" s="2" t="s">
        <v>13</v>
      </c>
      <c r="AC2" s="2"/>
      <c r="AD2" s="2" t="s">
        <v>11</v>
      </c>
      <c r="AE2" s="2" t="s">
        <v>13</v>
      </c>
      <c r="AF2" s="2"/>
      <c r="AG2" s="2" t="s">
        <v>11</v>
      </c>
      <c r="AH2" s="2" t="s">
        <v>13</v>
      </c>
      <c r="AI2" s="2"/>
      <c r="AJ2" s="2" t="s">
        <v>11</v>
      </c>
      <c r="AK2" s="2" t="s">
        <v>13</v>
      </c>
      <c r="AL2" s="2"/>
      <c r="AM2" s="2" t="s">
        <v>11</v>
      </c>
      <c r="AN2" s="2" t="s">
        <v>13</v>
      </c>
      <c r="AO2" s="2"/>
      <c r="AP2" s="2" t="s">
        <v>11</v>
      </c>
      <c r="AQ2" s="2" t="s">
        <v>13</v>
      </c>
      <c r="AR2" s="2"/>
      <c r="AS2" s="2" t="s">
        <v>11</v>
      </c>
      <c r="AT2" s="2" t="s">
        <v>13</v>
      </c>
      <c r="AU2" s="2"/>
      <c r="AV2" s="2" t="s">
        <v>11</v>
      </c>
      <c r="AW2" s="2" t="s">
        <v>13</v>
      </c>
      <c r="AX2" s="2"/>
      <c r="AY2" s="2" t="s">
        <v>11</v>
      </c>
      <c r="AZ2" s="2" t="s">
        <v>13</v>
      </c>
      <c r="BA2" s="2"/>
      <c r="BB2" s="2" t="s">
        <v>11</v>
      </c>
      <c r="BC2" s="2" t="s">
        <v>13</v>
      </c>
      <c r="BD2" s="2"/>
      <c r="BE2" s="2" t="s">
        <v>11</v>
      </c>
      <c r="BF2" s="2" t="s">
        <v>13</v>
      </c>
      <c r="BG2" s="2"/>
      <c r="BH2" s="2" t="s">
        <v>11</v>
      </c>
      <c r="BI2" s="2" t="s">
        <v>13</v>
      </c>
      <c r="BJ2" s="2"/>
      <c r="BK2" s="2" t="s">
        <v>11</v>
      </c>
      <c r="BL2" s="2" t="s">
        <v>13</v>
      </c>
      <c r="BM2" s="2"/>
      <c r="BN2" s="2" t="s">
        <v>11</v>
      </c>
      <c r="BO2" s="2" t="s">
        <v>13</v>
      </c>
      <c r="BP2" s="2"/>
      <c r="BQ2" s="2" t="s">
        <v>11</v>
      </c>
      <c r="BR2" s="2" t="s">
        <v>13</v>
      </c>
      <c r="BS2" s="2"/>
      <c r="BT2" s="2" t="s">
        <v>11</v>
      </c>
      <c r="BU2" s="2" t="s">
        <v>13</v>
      </c>
      <c r="BV2" s="2"/>
      <c r="BW2" s="2" t="s">
        <v>11</v>
      </c>
      <c r="BX2" s="2" t="s">
        <v>13</v>
      </c>
      <c r="BY2" s="2"/>
      <c r="BZ2" s="2" t="s">
        <v>11</v>
      </c>
      <c r="CA2" s="2" t="s">
        <v>13</v>
      </c>
      <c r="CB2" s="2"/>
      <c r="CC2" s="2" t="s">
        <v>11</v>
      </c>
      <c r="CD2" s="2" t="s">
        <v>13</v>
      </c>
      <c r="CE2" s="2"/>
      <c r="CF2" s="2" t="s">
        <v>11</v>
      </c>
      <c r="CG2" s="2" t="s">
        <v>13</v>
      </c>
    </row>
    <row r="3" spans="1:85" ht="15.75" thickBot="1" x14ac:dyDescent="0.3">
      <c r="B3" s="3" t="str">
        <f>Choix!A3</f>
        <v>Alexandre Turcotte</v>
      </c>
      <c r="C3" s="4">
        <f ca="1">Choix!F3 + C14</f>
        <v>9</v>
      </c>
      <c r="D3" s="4">
        <f ca="1">P1G + SUM(D5:D12)</f>
        <v>11</v>
      </c>
      <c r="E3" s="3" t="str">
        <f>Choix!A13</f>
        <v>Annick Demers</v>
      </c>
      <c r="F3" s="4">
        <f ca="1">Choix!F13 + F14</f>
        <v>4</v>
      </c>
      <c r="G3" s="4">
        <f ca="1">P2G + SUM(G5:G12)</f>
        <v>6</v>
      </c>
      <c r="H3" s="3" t="str">
        <f>Choix!A23</f>
        <v>Annie La Bonté</v>
      </c>
      <c r="I3" s="4">
        <f ca="1">Choix!F23 + I14</f>
        <v>8</v>
      </c>
      <c r="J3" s="4">
        <f ca="1">P3G + SUM(J5:J12)</f>
        <v>10</v>
      </c>
      <c r="K3" s="9" t="str">
        <f>Choix!A33</f>
        <v>Benoit Paquet</v>
      </c>
      <c r="L3" s="4">
        <f ca="1">Choix!F33 + L14</f>
        <v>7</v>
      </c>
      <c r="M3" s="4">
        <f ca="1">P4G + SUM(M5:M12)</f>
        <v>10</v>
      </c>
      <c r="N3" s="3" t="str">
        <f>Choix!A43</f>
        <v>Caroline Carrier</v>
      </c>
      <c r="O3" s="4">
        <f ca="1">Choix!F43 + O14</f>
        <v>8</v>
      </c>
      <c r="P3" s="4">
        <f ca="1">P5G + SUM(P5:P12)</f>
        <v>11</v>
      </c>
      <c r="Q3" s="9" t="str">
        <f>Choix!A53</f>
        <v>Catherine Delorme</v>
      </c>
      <c r="R3" s="4">
        <f ca="1">Choix!F53 + R14</f>
        <v>8</v>
      </c>
      <c r="S3" s="4">
        <f ca="1">P6G + SUM(S5:S12)</f>
        <v>11</v>
      </c>
      <c r="T3" s="9" t="str">
        <f>Choix!A63</f>
        <v>Cathy Demers</v>
      </c>
      <c r="U3" s="4">
        <f ca="1">Choix!F63 + U14</f>
        <v>6</v>
      </c>
      <c r="V3" s="4" cm="1">
        <f t="array" aca="1" ref="V3" ca="1">P7G + SUM(V5:V12)</f>
        <v>8</v>
      </c>
      <c r="W3" s="9" t="str">
        <f>Choix!A73</f>
        <v>Charles Doré</v>
      </c>
      <c r="X3" s="4">
        <f ca="1">Choix!F73 + X14</f>
        <v>11</v>
      </c>
      <c r="Y3" s="4" cm="1">
        <f t="array" aca="1" ref="Y3" ca="1">P8G + SUM(Y5:Y12)</f>
        <v>14</v>
      </c>
      <c r="Z3" s="3" t="str">
        <f>Choix!A83</f>
        <v>Cyril Sylvain</v>
      </c>
      <c r="AA3" s="4">
        <f ca="1">Choix!F83 + AA14</f>
        <v>5</v>
      </c>
      <c r="AB3" s="4" cm="1">
        <f t="array" aca="1" ref="AB3" ca="1">P9G + SUM(AB5:AB12)</f>
        <v>7</v>
      </c>
      <c r="AC3" s="3" t="str">
        <f>Choix!A93</f>
        <v>Daniel Pellerin</v>
      </c>
      <c r="AD3" s="4">
        <f ca="1">Choix!F93 + AD14</f>
        <v>10</v>
      </c>
      <c r="AE3" s="4">
        <f ca="1">P10G + SUM(AE5:AE12)</f>
        <v>13</v>
      </c>
      <c r="AF3" s="3" t="str">
        <f>Choix!A103</f>
        <v>François Briand</v>
      </c>
      <c r="AG3" s="4">
        <f ca="1">Choix!F103 + AG14</f>
        <v>7</v>
      </c>
      <c r="AH3" s="4" cm="1">
        <f t="array" aca="1" ref="AH3" ca="1">P11G + SUM(AH5:AH12)</f>
        <v>10</v>
      </c>
      <c r="AI3" s="3" t="str">
        <f>Choix!A113</f>
        <v>Frédéric Lallemand</v>
      </c>
      <c r="AJ3" s="4">
        <f ca="1">Choix!F113 + AJ14</f>
        <v>5</v>
      </c>
      <c r="AK3" s="4" cm="1">
        <f t="array" aca="1" ref="AK3" ca="1">P12G + SUM(AK5:AK12)</f>
        <v>8</v>
      </c>
      <c r="AL3" s="3" t="str">
        <f>Choix!A123</f>
        <v>Geneviève Leclerc</v>
      </c>
      <c r="AM3" s="4">
        <f ca="1">Choix!F123 + AM14</f>
        <v>5</v>
      </c>
      <c r="AN3" s="4" cm="1">
        <f t="array" aca="1" ref="AN3" ca="1">P13G + SUM(AN5:AN12)</f>
        <v>8</v>
      </c>
      <c r="AO3" s="3" t="str">
        <f>Choix!A133</f>
        <v>Gia Hoi Nguyen</v>
      </c>
      <c r="AP3" s="4">
        <f ca="1">Choix!F133 + AP14</f>
        <v>8</v>
      </c>
      <c r="AQ3" s="4" cm="1">
        <f t="array" aca="1" ref="AQ3" ca="1">P14G + SUM(AQ5:AQ12)</f>
        <v>10</v>
      </c>
      <c r="AR3" s="3" t="str">
        <f>Choix!A143</f>
        <v>Hugues Robert</v>
      </c>
      <c r="AS3" s="4">
        <f ca="1">Choix!F143 + AS14</f>
        <v>13</v>
      </c>
      <c r="AT3" s="4" cm="1">
        <f t="array" aca="1" ref="AT3" ca="1">P15G + SUM(AT5:AT12)</f>
        <v>16</v>
      </c>
      <c r="AU3" s="3" t="str">
        <f>Choix!A153</f>
        <v>Isabelle Landry</v>
      </c>
      <c r="AV3" s="4">
        <f ca="1">Choix!F153 + AV14</f>
        <v>13</v>
      </c>
      <c r="AW3" s="4" cm="1">
        <f t="array" aca="1" ref="AW3" ca="1">P16G + SUM(AW5:AW12)</f>
        <v>16</v>
      </c>
      <c r="AX3" s="3" t="str">
        <f>Choix!A163</f>
        <v>Jean-François Couture</v>
      </c>
      <c r="AY3" s="4">
        <f ca="1">Choix!F163 + AY14</f>
        <v>7</v>
      </c>
      <c r="AZ3" s="4" cm="1">
        <f t="array" aca="1" ref="AZ3" ca="1">P17G + SUM(AZ5:AZ12)</f>
        <v>9</v>
      </c>
      <c r="BA3" s="3" t="str">
        <f>Choix!A173</f>
        <v>Jean-Sébastien Angers</v>
      </c>
      <c r="BB3" s="4">
        <f ca="1">Choix!F173 + BB14</f>
        <v>15</v>
      </c>
      <c r="BC3" s="4" cm="1">
        <f t="array" aca="1" ref="BC3" ca="1">P18G + SUM(BC5:BC12)</f>
        <v>17</v>
      </c>
      <c r="BD3" s="3" t="str">
        <f>Choix!A183</f>
        <v>Jonathan Blanchette</v>
      </c>
      <c r="BE3" s="4">
        <f ca="1">Choix!F183 + BE14</f>
        <v>11</v>
      </c>
      <c r="BF3" s="4" cm="1">
        <f t="array" aca="1" ref="BF3" ca="1">P19G + SUM(BF5:BF12)</f>
        <v>13</v>
      </c>
      <c r="BG3" s="3" t="str">
        <f>Choix!A193</f>
        <v>Marc Morin</v>
      </c>
      <c r="BH3" s="4">
        <f ca="1">Choix!F193 + BH14</f>
        <v>8</v>
      </c>
      <c r="BI3" s="4" cm="1">
        <f t="array" aca="1" ref="BI3" ca="1">P20G + SUM(BI5:BI12)</f>
        <v>11</v>
      </c>
      <c r="BJ3" s="3" t="str">
        <f>Choix!A203</f>
        <v>Marc Poirier</v>
      </c>
      <c r="BK3" s="4">
        <f ca="1">Choix!F203 + BK14</f>
        <v>3</v>
      </c>
      <c r="BL3" s="4" cm="1">
        <f t="array" aca="1" ref="BL3" ca="1">P21G + SUM(BL5:BL12)</f>
        <v>6</v>
      </c>
      <c r="BM3" s="3" t="str">
        <f>Choix!A213</f>
        <v>Mathieu Pagé</v>
      </c>
      <c r="BN3" s="4">
        <f ca="1">Choix!F213 + BN14</f>
        <v>10</v>
      </c>
      <c r="BO3" s="4" cm="1">
        <f t="array" aca="1" ref="BO3" ca="1">P22G + SUM(BO5:BO12)</f>
        <v>12</v>
      </c>
      <c r="BP3" s="3" t="str">
        <f>Choix!A223</f>
        <v>Michel Gagné</v>
      </c>
      <c r="BQ3" s="4">
        <f ca="1">Choix!F223 + BQ14</f>
        <v>13</v>
      </c>
      <c r="BR3" s="4" cm="1">
        <f t="array" aca="1" ref="BR3" ca="1">P23G + SUM(BR5:BR12)</f>
        <v>15</v>
      </c>
      <c r="BS3" s="3" t="str">
        <f>Choix!A233</f>
        <v>Sébastien Boudreau</v>
      </c>
      <c r="BT3" s="4">
        <f ca="1">Choix!F233 + BT14</f>
        <v>9</v>
      </c>
      <c r="BU3" s="4" cm="1">
        <f t="array" aca="1" ref="BU3" ca="1">P24G + SUM(BU5:BU12)</f>
        <v>11</v>
      </c>
      <c r="BV3" s="3" t="str">
        <f>Choix!A243</f>
        <v>Simon Manouk</v>
      </c>
      <c r="BW3" s="4">
        <f ca="1">Choix!F243 + BW14</f>
        <v>10</v>
      </c>
      <c r="BX3" s="4" cm="1">
        <f t="array" aca="1" ref="BX3" ca="1">P25G + SUM(BX5:BX12)</f>
        <v>12</v>
      </c>
      <c r="BY3" s="3" t="str">
        <f>Choix!A253</f>
        <v>Stéphane Drapeau</v>
      </c>
      <c r="BZ3" s="4">
        <f ca="1">Choix!F253 + BZ14</f>
        <v>10</v>
      </c>
      <c r="CA3" s="4" cm="1">
        <f t="array" aca="1" ref="CA3" ca="1">P26G + SUM(CA5:CA12)</f>
        <v>13</v>
      </c>
      <c r="CB3" s="3" t="str">
        <f>Choix!A263</f>
        <v>Vicky Rodrigue</v>
      </c>
      <c r="CC3" s="4">
        <f ca="1">Choix!F263 + CC14</f>
        <v>7</v>
      </c>
      <c r="CD3" s="4" cm="1">
        <f t="array" aca="1" ref="CD3" ca="1">P27G + SUM(CD5:CD12)</f>
        <v>9</v>
      </c>
      <c r="CE3" s="3" t="str">
        <f>Choix!A273</f>
        <v>Yves Tremblay</v>
      </c>
      <c r="CF3" s="4">
        <f ca="1">Choix!F273 + CF14</f>
        <v>12</v>
      </c>
      <c r="CG3" s="4" cm="1">
        <f t="array" aca="1" ref="CG3" ca="1">P28G + SUM(CG5:CG12)</f>
        <v>15</v>
      </c>
    </row>
    <row r="4" spans="1:85" ht="15.75" x14ac:dyDescent="0.25">
      <c r="A4" s="31" t="s">
        <v>25</v>
      </c>
      <c r="B4" s="42" t="s">
        <v>88</v>
      </c>
      <c r="C4" s="44"/>
      <c r="D4" s="4"/>
      <c r="E4" s="42" t="s">
        <v>88</v>
      </c>
      <c r="F4" s="44"/>
      <c r="G4" s="4"/>
      <c r="H4" s="42" t="s">
        <v>88</v>
      </c>
      <c r="I4" s="44"/>
      <c r="J4" s="4"/>
      <c r="K4" s="42" t="s">
        <v>88</v>
      </c>
      <c r="L4" s="44"/>
      <c r="M4" s="4"/>
      <c r="N4" s="42" t="s">
        <v>88</v>
      </c>
      <c r="O4" s="44"/>
      <c r="P4" s="4"/>
      <c r="Q4" s="42" t="s">
        <v>88</v>
      </c>
      <c r="R4" s="44"/>
      <c r="S4" s="4"/>
      <c r="T4" s="42" t="s">
        <v>88</v>
      </c>
      <c r="U4" s="44"/>
      <c r="V4" s="4"/>
      <c r="W4" s="42" t="s">
        <v>88</v>
      </c>
      <c r="X4" s="44"/>
      <c r="Y4" s="4"/>
      <c r="Z4" s="42" t="s">
        <v>88</v>
      </c>
      <c r="AA4" s="44"/>
      <c r="AB4" s="4"/>
      <c r="AC4" s="42" t="s">
        <v>88</v>
      </c>
      <c r="AD4" s="44"/>
      <c r="AE4" s="4"/>
      <c r="AF4" s="42" t="s">
        <v>88</v>
      </c>
      <c r="AG4" s="44"/>
      <c r="AH4" s="4"/>
      <c r="AI4" s="42" t="s">
        <v>88</v>
      </c>
      <c r="AJ4" s="44"/>
      <c r="AK4" s="4"/>
      <c r="AL4" s="42" t="s">
        <v>88</v>
      </c>
      <c r="AM4" s="44"/>
      <c r="AN4" s="4"/>
      <c r="AO4" s="42" t="s">
        <v>88</v>
      </c>
      <c r="AP4" s="44"/>
      <c r="AQ4" s="4"/>
      <c r="AR4" s="42" t="s">
        <v>88</v>
      </c>
      <c r="AS4" s="44"/>
      <c r="AT4" s="4"/>
      <c r="AU4" s="42" t="s">
        <v>88</v>
      </c>
      <c r="AV4" s="44"/>
      <c r="AW4" s="4"/>
      <c r="AX4" s="42" t="s">
        <v>88</v>
      </c>
      <c r="AY4" s="44"/>
      <c r="AZ4" s="4"/>
      <c r="BA4" s="42" t="s">
        <v>88</v>
      </c>
      <c r="BB4" s="44"/>
      <c r="BC4" s="4"/>
      <c r="BD4" s="42" t="s">
        <v>88</v>
      </c>
      <c r="BE4" s="44"/>
      <c r="BF4" s="4"/>
      <c r="BG4" s="42" t="s">
        <v>88</v>
      </c>
      <c r="BH4" s="44"/>
      <c r="BI4" s="4"/>
      <c r="BJ4" s="42" t="s">
        <v>88</v>
      </c>
      <c r="BK4" s="44"/>
      <c r="BL4" s="4"/>
      <c r="BM4" s="42" t="s">
        <v>88</v>
      </c>
      <c r="BN4" s="44"/>
      <c r="BO4" s="4"/>
      <c r="BP4" s="42" t="s">
        <v>88</v>
      </c>
      <c r="BQ4" s="44"/>
      <c r="BR4" s="4"/>
      <c r="BS4" s="42" t="s">
        <v>88</v>
      </c>
      <c r="BT4" s="44"/>
      <c r="BU4" s="4"/>
      <c r="BV4" s="42" t="s">
        <v>88</v>
      </c>
      <c r="BW4" s="44"/>
      <c r="BX4" s="4"/>
      <c r="BY4" s="42" t="s">
        <v>88</v>
      </c>
      <c r="BZ4" s="44"/>
      <c r="CA4" s="4"/>
      <c r="CB4" s="42" t="s">
        <v>88</v>
      </c>
      <c r="CC4" s="44"/>
      <c r="CD4" s="4"/>
      <c r="CE4" s="42" t="s">
        <v>88</v>
      </c>
      <c r="CF4" s="44"/>
      <c r="CG4" s="4"/>
    </row>
    <row r="5" spans="1:85" ht="16.5" thickBot="1" x14ac:dyDescent="0.3">
      <c r="A5" s="32">
        <f>ronde</f>
        <v>1</v>
      </c>
      <c r="B5" s="36" t="str">
        <f>Choix!A4</f>
        <v>BUF</v>
      </c>
      <c r="C5" s="51">
        <f>Choix!B4</f>
        <v>6</v>
      </c>
      <c r="D5" s="51">
        <f>Choix!G4</f>
        <v>0</v>
      </c>
      <c r="E5" s="35" t="str">
        <f>Choix!A14</f>
        <v>BOS</v>
      </c>
      <c r="F5" s="51">
        <f>Choix!B14</f>
        <v>6</v>
      </c>
      <c r="G5" s="51">
        <f>Choix!G14</f>
        <v>0</v>
      </c>
      <c r="H5" s="35" t="str">
        <f>Choix!A24</f>
        <v>BOS</v>
      </c>
      <c r="I5" s="51">
        <f>Choix!B24</f>
        <v>5</v>
      </c>
      <c r="J5" s="51">
        <f>Choix!G24</f>
        <v>0</v>
      </c>
      <c r="K5" s="35" t="str">
        <f>Choix!A34</f>
        <v>BOS</v>
      </c>
      <c r="L5" s="51">
        <f>Choix!B34</f>
        <v>5</v>
      </c>
      <c r="M5" s="51">
        <f>Choix!G34</f>
        <v>0</v>
      </c>
      <c r="N5" s="36" t="str">
        <f>Choix!A44</f>
        <v>BUF</v>
      </c>
      <c r="O5" s="51">
        <f>Choix!B44</f>
        <v>6</v>
      </c>
      <c r="P5" s="51">
        <f>Choix!G44</f>
        <v>0</v>
      </c>
      <c r="Q5" s="36" t="str">
        <f>Choix!A54</f>
        <v>BUF</v>
      </c>
      <c r="R5" s="51">
        <f>Choix!B54</f>
        <v>6</v>
      </c>
      <c r="S5" s="51">
        <f>Choix!G54</f>
        <v>0</v>
      </c>
      <c r="T5" s="35" t="str">
        <f>Choix!A64</f>
        <v>BOS</v>
      </c>
      <c r="U5" s="51">
        <f>Choix!B64</f>
        <v>6</v>
      </c>
      <c r="V5" s="51">
        <f>Choix!G64</f>
        <v>0</v>
      </c>
      <c r="W5" s="36" t="str">
        <f>Choix!A74</f>
        <v>BUF</v>
      </c>
      <c r="X5" s="51">
        <f>Choix!B74</f>
        <v>6</v>
      </c>
      <c r="Y5" s="51">
        <f>Choix!G74</f>
        <v>0</v>
      </c>
      <c r="Z5" s="35" t="str">
        <f>Choix!A84</f>
        <v>BOS</v>
      </c>
      <c r="AA5" s="51">
        <f>Choix!B84</f>
        <v>7</v>
      </c>
      <c r="AB5" s="51">
        <f>Choix!G84</f>
        <v>0</v>
      </c>
      <c r="AC5" s="36" t="str">
        <f>Choix!A94</f>
        <v>BUF</v>
      </c>
      <c r="AD5" s="51">
        <f>Choix!B94</f>
        <v>6</v>
      </c>
      <c r="AE5" s="51">
        <f>Choix!G94</f>
        <v>0</v>
      </c>
      <c r="AF5" s="36" t="str">
        <f>Choix!A104</f>
        <v>BUF</v>
      </c>
      <c r="AG5" s="51">
        <f>Choix!B104</f>
        <v>6</v>
      </c>
      <c r="AH5" s="51">
        <f>Choix!G104</f>
        <v>0</v>
      </c>
      <c r="AI5" s="35" t="str">
        <f>Choix!A114</f>
        <v>BOS</v>
      </c>
      <c r="AJ5" s="51">
        <f>Choix!B114</f>
        <v>6</v>
      </c>
      <c r="AK5" s="51">
        <f>Choix!G114</f>
        <v>0</v>
      </c>
      <c r="AL5" s="34" t="str">
        <f>Choix!A124</f>
        <v>BUF</v>
      </c>
      <c r="AM5" s="51">
        <f>Choix!B124</f>
        <v>5</v>
      </c>
      <c r="AN5" s="51">
        <f>Choix!G124</f>
        <v>0</v>
      </c>
      <c r="AO5" s="36" t="str">
        <f>Choix!A134</f>
        <v>BUF</v>
      </c>
      <c r="AP5" s="51">
        <f>Choix!B134</f>
        <v>6</v>
      </c>
      <c r="AQ5" s="51">
        <f>Choix!G134</f>
        <v>0</v>
      </c>
      <c r="AR5" s="36" t="str">
        <f>Choix!A144</f>
        <v>BUF</v>
      </c>
      <c r="AS5" s="51">
        <f>Choix!B144</f>
        <v>6</v>
      </c>
      <c r="AT5" s="51">
        <f>Choix!G144</f>
        <v>0</v>
      </c>
      <c r="AU5" s="34" t="str">
        <f>Choix!A154</f>
        <v>BUF</v>
      </c>
      <c r="AV5" s="51">
        <f>Choix!B154</f>
        <v>5</v>
      </c>
      <c r="AW5" s="51">
        <f>Choix!G154</f>
        <v>0</v>
      </c>
      <c r="AX5" s="35" t="str">
        <f>Choix!A164</f>
        <v>BOS</v>
      </c>
      <c r="AY5" s="51">
        <f>Choix!B164</f>
        <v>7</v>
      </c>
      <c r="AZ5" s="51">
        <f>Choix!G164</f>
        <v>0</v>
      </c>
      <c r="BA5" s="34" t="str">
        <f>Choix!A174</f>
        <v>BUF</v>
      </c>
      <c r="BB5" s="51">
        <f>Choix!B174</f>
        <v>7</v>
      </c>
      <c r="BC5" s="51">
        <f>Choix!G174</f>
        <v>0</v>
      </c>
      <c r="BD5" s="36" t="str">
        <f>Choix!A184</f>
        <v>BUF</v>
      </c>
      <c r="BE5" s="51">
        <f>Choix!B184</f>
        <v>6</v>
      </c>
      <c r="BF5" s="51">
        <f>Choix!G184</f>
        <v>0</v>
      </c>
      <c r="BG5" s="34" t="str">
        <f>Choix!A194</f>
        <v>BUF</v>
      </c>
      <c r="BH5" s="51">
        <f>Choix!B194</f>
        <v>5</v>
      </c>
      <c r="BI5" s="51">
        <f>Choix!G194</f>
        <v>0</v>
      </c>
      <c r="BJ5" s="35" t="str">
        <f>Choix!A204</f>
        <v>BOS</v>
      </c>
      <c r="BK5" s="51">
        <f>Choix!B204</f>
        <v>4</v>
      </c>
      <c r="BL5" s="51">
        <f>Choix!G204</f>
        <v>0</v>
      </c>
      <c r="BM5" s="36" t="str">
        <f>Choix!A214</f>
        <v>BUF</v>
      </c>
      <c r="BN5" s="51">
        <f>Choix!B214</f>
        <v>6</v>
      </c>
      <c r="BO5" s="51">
        <f>Choix!G214</f>
        <v>0</v>
      </c>
      <c r="BP5" s="36" t="str">
        <f>Choix!A224</f>
        <v>BUF</v>
      </c>
      <c r="BQ5" s="51">
        <f>Choix!B224</f>
        <v>6</v>
      </c>
      <c r="BR5" s="51">
        <f>Choix!G224</f>
        <v>0</v>
      </c>
      <c r="BS5" s="34" t="str">
        <f>Choix!A234</f>
        <v>BUF</v>
      </c>
      <c r="BT5" s="51">
        <f>Choix!B234</f>
        <v>7</v>
      </c>
      <c r="BU5" s="51">
        <f>Choix!G234</f>
        <v>0</v>
      </c>
      <c r="BV5" s="36" t="str">
        <f>Choix!A244</f>
        <v>BUF</v>
      </c>
      <c r="BW5" s="51">
        <f>Choix!B244</f>
        <v>6</v>
      </c>
      <c r="BX5" s="51">
        <f>Choix!G244</f>
        <v>0</v>
      </c>
      <c r="BY5" s="36" t="str">
        <f>Choix!A254</f>
        <v>BUF</v>
      </c>
      <c r="BZ5" s="51">
        <f>Choix!B254</f>
        <v>6</v>
      </c>
      <c r="CA5" s="51">
        <f>Choix!G254</f>
        <v>0</v>
      </c>
      <c r="CB5" s="35" t="str">
        <f>Choix!A264</f>
        <v>BOS</v>
      </c>
      <c r="CC5" s="51">
        <f>Choix!B264</f>
        <v>6</v>
      </c>
      <c r="CD5" s="51">
        <f>Choix!G264</f>
        <v>0</v>
      </c>
      <c r="CE5" s="36" t="str">
        <f>Choix!A274</f>
        <v>BUF</v>
      </c>
      <c r="CF5" s="51">
        <f>Choix!B274</f>
        <v>6</v>
      </c>
      <c r="CG5" s="51">
        <f>Choix!G274</f>
        <v>0</v>
      </c>
    </row>
    <row r="6" spans="1:85" x14ac:dyDescent="0.25">
      <c r="A6" s="7"/>
      <c r="B6" s="40" t="str">
        <f>Choix!A5</f>
        <v>MTL</v>
      </c>
      <c r="C6" s="51">
        <f>Choix!B5</f>
        <v>6</v>
      </c>
      <c r="D6" s="51">
        <f>Choix!G5</f>
        <v>2</v>
      </c>
      <c r="E6" s="40" t="str">
        <f>Choix!A15</f>
        <v>TBL</v>
      </c>
      <c r="F6" s="51">
        <f>Choix!B15</f>
        <v>6</v>
      </c>
      <c r="G6" s="51">
        <f>Choix!G15</f>
        <v>2</v>
      </c>
      <c r="H6" s="40" t="str">
        <f>Choix!A25</f>
        <v>MTL</v>
      </c>
      <c r="I6" s="51">
        <f>Choix!B25</f>
        <v>6</v>
      </c>
      <c r="J6" s="51">
        <f>Choix!G25</f>
        <v>2</v>
      </c>
      <c r="K6" s="51" t="str">
        <f>Choix!A35</f>
        <v>MTL</v>
      </c>
      <c r="L6" s="51">
        <f>Choix!B35</f>
        <v>7</v>
      </c>
      <c r="M6" s="51">
        <f>Choix!G35</f>
        <v>3</v>
      </c>
      <c r="N6" s="51" t="str">
        <f>Choix!A45</f>
        <v>TBL</v>
      </c>
      <c r="O6" s="51">
        <f>Choix!B45</f>
        <v>7</v>
      </c>
      <c r="P6" s="51">
        <f>Choix!G45</f>
        <v>3</v>
      </c>
      <c r="Q6" s="51" t="str">
        <f>Choix!A55</f>
        <v>TBL</v>
      </c>
      <c r="R6" s="51">
        <f>Choix!B55</f>
        <v>7</v>
      </c>
      <c r="S6" s="51">
        <f>Choix!G55</f>
        <v>3</v>
      </c>
      <c r="T6" s="40" t="str">
        <f>Choix!A65</f>
        <v>TBL</v>
      </c>
      <c r="U6" s="51">
        <f>Choix!B65</f>
        <v>6</v>
      </c>
      <c r="V6" s="51">
        <f>Choix!G65</f>
        <v>2</v>
      </c>
      <c r="W6" s="51" t="str">
        <f>Choix!A75</f>
        <v>TBL</v>
      </c>
      <c r="X6" s="51">
        <f>Choix!B75</f>
        <v>7</v>
      </c>
      <c r="Y6" s="51">
        <f>Choix!G75</f>
        <v>3</v>
      </c>
      <c r="Z6" s="40" t="str">
        <f>Choix!A85</f>
        <v>MTL</v>
      </c>
      <c r="AA6" s="51">
        <f>Choix!B85</f>
        <v>6</v>
      </c>
      <c r="AB6" s="51">
        <f>Choix!G85</f>
        <v>2</v>
      </c>
      <c r="AC6" s="51" t="str">
        <f>Choix!A95</f>
        <v>MTL</v>
      </c>
      <c r="AD6" s="51">
        <f>Choix!B95</f>
        <v>7</v>
      </c>
      <c r="AE6" s="51">
        <f>Choix!G95</f>
        <v>3</v>
      </c>
      <c r="AF6" s="51" t="str">
        <f>Choix!A105</f>
        <v>MTL</v>
      </c>
      <c r="AG6" s="51">
        <f>Choix!B105</f>
        <v>7</v>
      </c>
      <c r="AH6" s="51">
        <f>Choix!G105</f>
        <v>3</v>
      </c>
      <c r="AI6" s="51" t="str">
        <f>Choix!A115</f>
        <v>MTL</v>
      </c>
      <c r="AJ6" s="51">
        <f>Choix!B115</f>
        <v>7</v>
      </c>
      <c r="AK6" s="51">
        <f>Choix!G115</f>
        <v>3</v>
      </c>
      <c r="AL6" s="51" t="str">
        <f>Choix!A125</f>
        <v>TBL</v>
      </c>
      <c r="AM6" s="51">
        <f>Choix!B125</f>
        <v>7</v>
      </c>
      <c r="AN6" s="51">
        <f>Choix!G125</f>
        <v>3</v>
      </c>
      <c r="AO6" s="40" t="str">
        <f>Choix!A135</f>
        <v>MTL</v>
      </c>
      <c r="AP6" s="51">
        <f>Choix!B135</f>
        <v>6</v>
      </c>
      <c r="AQ6" s="51">
        <f>Choix!G135</f>
        <v>2</v>
      </c>
      <c r="AR6" s="51" t="str">
        <f>Choix!A145</f>
        <v>MTL</v>
      </c>
      <c r="AS6" s="51">
        <f>Choix!B145</f>
        <v>7</v>
      </c>
      <c r="AT6" s="51">
        <f>Choix!G145</f>
        <v>3</v>
      </c>
      <c r="AU6" s="51" t="str">
        <f>Choix!A155</f>
        <v>MTL</v>
      </c>
      <c r="AV6" s="51">
        <f>Choix!B155</f>
        <v>7</v>
      </c>
      <c r="AW6" s="51">
        <f>Choix!G155</f>
        <v>3</v>
      </c>
      <c r="AX6" s="40" t="str">
        <f>Choix!A165</f>
        <v>MTL</v>
      </c>
      <c r="AY6" s="51">
        <f>Choix!B165</f>
        <v>6</v>
      </c>
      <c r="AZ6" s="51">
        <f>Choix!G165</f>
        <v>2</v>
      </c>
      <c r="BA6" s="40" t="str">
        <f>Choix!A175</f>
        <v>MTL</v>
      </c>
      <c r="BB6" s="51">
        <f>Choix!B175</f>
        <v>6</v>
      </c>
      <c r="BC6" s="51">
        <f>Choix!G175</f>
        <v>2</v>
      </c>
      <c r="BD6" s="40" t="str">
        <f>Choix!A185</f>
        <v>TBL</v>
      </c>
      <c r="BE6" s="51">
        <f>Choix!B185</f>
        <v>6</v>
      </c>
      <c r="BF6" s="51">
        <f>Choix!G185</f>
        <v>2</v>
      </c>
      <c r="BG6" s="51" t="str">
        <f>Choix!A195</f>
        <v>MTL</v>
      </c>
      <c r="BH6" s="51">
        <f>Choix!B195</f>
        <v>7</v>
      </c>
      <c r="BI6" s="51">
        <f>Choix!G195</f>
        <v>3</v>
      </c>
      <c r="BJ6" s="51" t="str">
        <f>Choix!A205</f>
        <v>MTL</v>
      </c>
      <c r="BK6" s="51">
        <f>Choix!B205</f>
        <v>7</v>
      </c>
      <c r="BL6" s="51">
        <f>Choix!G205</f>
        <v>3</v>
      </c>
      <c r="BM6" s="40" t="str">
        <f>Choix!A215</f>
        <v>TBL</v>
      </c>
      <c r="BN6" s="51">
        <f>Choix!B215</f>
        <v>5</v>
      </c>
      <c r="BO6" s="51">
        <f>Choix!G215</f>
        <v>2</v>
      </c>
      <c r="BP6" s="40" t="str">
        <f>Choix!A225</f>
        <v>MTL</v>
      </c>
      <c r="BQ6" s="51">
        <f>Choix!B225</f>
        <v>6</v>
      </c>
      <c r="BR6" s="51">
        <f>Choix!G225</f>
        <v>2</v>
      </c>
      <c r="BS6" s="40" t="str">
        <f>Choix!A235</f>
        <v>TBL</v>
      </c>
      <c r="BT6" s="51">
        <f>Choix!B235</f>
        <v>6</v>
      </c>
      <c r="BU6" s="51">
        <f>Choix!G235</f>
        <v>2</v>
      </c>
      <c r="BV6" s="40" t="str">
        <f>Choix!A245</f>
        <v>MTL</v>
      </c>
      <c r="BW6" s="51">
        <f>Choix!B245</f>
        <v>5</v>
      </c>
      <c r="BX6" s="51">
        <f>Choix!G245</f>
        <v>2</v>
      </c>
      <c r="BY6" s="51" t="str">
        <f>Choix!A255</f>
        <v>MTL</v>
      </c>
      <c r="BZ6" s="51">
        <f>Choix!B255</f>
        <v>7</v>
      </c>
      <c r="CA6" s="51">
        <f>Choix!G255</f>
        <v>3</v>
      </c>
      <c r="CB6" s="40" t="str">
        <f>Choix!A265</f>
        <v>TBL</v>
      </c>
      <c r="CC6" s="51">
        <f>Choix!B265</f>
        <v>6</v>
      </c>
      <c r="CD6" s="51">
        <f>Choix!G265</f>
        <v>2</v>
      </c>
      <c r="CE6" s="51" t="str">
        <f>Choix!A275</f>
        <v>TBL</v>
      </c>
      <c r="CF6" s="51">
        <f>Choix!B275</f>
        <v>7</v>
      </c>
      <c r="CG6" s="51">
        <f>Choix!G275</f>
        <v>3</v>
      </c>
    </row>
    <row r="7" spans="1:85" x14ac:dyDescent="0.25">
      <c r="A7" s="7"/>
      <c r="B7" s="34" t="str">
        <f>Choix!A6</f>
        <v>CAR</v>
      </c>
      <c r="C7" s="51">
        <f>Choix!B6</f>
        <v>5</v>
      </c>
      <c r="D7" s="51">
        <f>Choix!G6</f>
        <v>0</v>
      </c>
      <c r="E7" s="34" t="str">
        <f>Choix!A16</f>
        <v>CAR</v>
      </c>
      <c r="F7" s="51">
        <f>Choix!B16</f>
        <v>5</v>
      </c>
      <c r="G7" s="51">
        <f>Choix!G16</f>
        <v>0</v>
      </c>
      <c r="H7" s="34" t="str">
        <f>Choix!A26</f>
        <v>CAR</v>
      </c>
      <c r="I7" s="51">
        <f>Choix!B26</f>
        <v>5</v>
      </c>
      <c r="J7" s="51">
        <f>Choix!G26</f>
        <v>0</v>
      </c>
      <c r="K7" s="34" t="str">
        <f>Choix!A36</f>
        <v>CAR</v>
      </c>
      <c r="L7" s="51">
        <f>Choix!B36</f>
        <v>5</v>
      </c>
      <c r="M7" s="51">
        <f>Choix!G36</f>
        <v>0</v>
      </c>
      <c r="N7" s="35" t="str">
        <f>Choix!A46</f>
        <v>OTT</v>
      </c>
      <c r="O7" s="51">
        <f>Choix!B46</f>
        <v>6</v>
      </c>
      <c r="P7" s="51">
        <f>Choix!G46</f>
        <v>0</v>
      </c>
      <c r="Q7" s="35" t="str">
        <f>Choix!A56</f>
        <v>OTT</v>
      </c>
      <c r="R7" s="51">
        <f>Choix!B56</f>
        <v>7</v>
      </c>
      <c r="S7" s="51">
        <f>Choix!G56</f>
        <v>0</v>
      </c>
      <c r="T7" s="34" t="str">
        <f>Choix!A66</f>
        <v>CAR</v>
      </c>
      <c r="U7" s="51">
        <f>Choix!B66</f>
        <v>5</v>
      </c>
      <c r="V7" s="51">
        <f>Choix!G66</f>
        <v>0</v>
      </c>
      <c r="W7" s="34" t="str">
        <f>Choix!A76</f>
        <v>CAR</v>
      </c>
      <c r="X7" s="51">
        <f>Choix!B76</f>
        <v>7</v>
      </c>
      <c r="Y7" s="51">
        <f>Choix!G76</f>
        <v>0</v>
      </c>
      <c r="Z7" s="34" t="str">
        <f>Choix!A86</f>
        <v>CAR</v>
      </c>
      <c r="AA7" s="51">
        <f>Choix!B86</f>
        <v>6</v>
      </c>
      <c r="AB7" s="51">
        <f>Choix!G86</f>
        <v>0</v>
      </c>
      <c r="AC7" s="34" t="str">
        <f>Choix!A96</f>
        <v>CAR</v>
      </c>
      <c r="AD7" s="51">
        <f>Choix!B96</f>
        <v>6</v>
      </c>
      <c r="AE7" s="51">
        <f>Choix!G96</f>
        <v>0</v>
      </c>
      <c r="AF7" s="35" t="str">
        <f>Choix!A106</f>
        <v>OTT</v>
      </c>
      <c r="AG7" s="51">
        <f>Choix!B106</f>
        <v>7</v>
      </c>
      <c r="AH7" s="51">
        <f>Choix!G106</f>
        <v>0</v>
      </c>
      <c r="AI7" s="34" t="str">
        <f>Choix!A116</f>
        <v>CAR</v>
      </c>
      <c r="AJ7" s="51">
        <f>Choix!B116</f>
        <v>5</v>
      </c>
      <c r="AK7" s="51">
        <f>Choix!G116</f>
        <v>0</v>
      </c>
      <c r="AL7" s="35" t="str">
        <f>Choix!A126</f>
        <v>OTT</v>
      </c>
      <c r="AM7" s="51">
        <f>Choix!B126</f>
        <v>6</v>
      </c>
      <c r="AN7" s="51">
        <f>Choix!G126</f>
        <v>0</v>
      </c>
      <c r="AO7" s="35" t="str">
        <f>Choix!A136</f>
        <v>OTT</v>
      </c>
      <c r="AP7" s="51">
        <f>Choix!B136</f>
        <v>7</v>
      </c>
      <c r="AQ7" s="51">
        <f>Choix!G136</f>
        <v>0</v>
      </c>
      <c r="AR7" s="34" t="str">
        <f>Choix!A146</f>
        <v>CAR</v>
      </c>
      <c r="AS7" s="51">
        <f>Choix!B146</f>
        <v>6</v>
      </c>
      <c r="AT7" s="51">
        <f>Choix!G146</f>
        <v>0</v>
      </c>
      <c r="AU7" s="34" t="str">
        <f>Choix!A156</f>
        <v>CAR</v>
      </c>
      <c r="AV7" s="51">
        <f>Choix!B156</f>
        <v>6</v>
      </c>
      <c r="AW7" s="51">
        <f>Choix!G156</f>
        <v>0</v>
      </c>
      <c r="AX7" s="34" t="str">
        <f>Choix!A166</f>
        <v>CAR</v>
      </c>
      <c r="AY7" s="51">
        <f>Choix!B166</f>
        <v>5</v>
      </c>
      <c r="AZ7" s="51">
        <f>Choix!G166</f>
        <v>0</v>
      </c>
      <c r="BA7" s="34" t="str">
        <f>Choix!A176</f>
        <v>CAR</v>
      </c>
      <c r="BB7" s="51">
        <f>Choix!B176</f>
        <v>5</v>
      </c>
      <c r="BC7" s="51">
        <f>Choix!G176</f>
        <v>0</v>
      </c>
      <c r="BD7" s="34" t="str">
        <f>Choix!A186</f>
        <v>CAR</v>
      </c>
      <c r="BE7" s="51">
        <f>Choix!B186</f>
        <v>5</v>
      </c>
      <c r="BF7" s="51">
        <f>Choix!G186</f>
        <v>0</v>
      </c>
      <c r="BG7" s="34" t="str">
        <f>Choix!A196</f>
        <v>CAR</v>
      </c>
      <c r="BH7" s="51">
        <f>Choix!B196</f>
        <v>5</v>
      </c>
      <c r="BI7" s="51">
        <f>Choix!G196</f>
        <v>0</v>
      </c>
      <c r="BJ7" s="35" t="str">
        <f>Choix!A206</f>
        <v>OTT</v>
      </c>
      <c r="BK7" s="51">
        <f>Choix!B206</f>
        <v>5</v>
      </c>
      <c r="BL7" s="51">
        <f>Choix!G206</f>
        <v>0</v>
      </c>
      <c r="BM7" s="34" t="str">
        <f>Choix!A216</f>
        <v>CAR</v>
      </c>
      <c r="BN7" s="51">
        <f>Choix!B216</f>
        <v>7</v>
      </c>
      <c r="BO7" s="51">
        <f>Choix!G216</f>
        <v>0</v>
      </c>
      <c r="BP7" s="34" t="str">
        <f>Choix!A226</f>
        <v>CAR</v>
      </c>
      <c r="BQ7" s="51">
        <f>Choix!B226</f>
        <v>6</v>
      </c>
      <c r="BR7" s="51">
        <f>Choix!G226</f>
        <v>0</v>
      </c>
      <c r="BS7" s="34" t="str">
        <f>Choix!A236</f>
        <v>CAR</v>
      </c>
      <c r="BT7" s="51">
        <f>Choix!B236</f>
        <v>7</v>
      </c>
      <c r="BU7" s="51">
        <f>Choix!G236</f>
        <v>0</v>
      </c>
      <c r="BV7" s="34" t="str">
        <f>Choix!A246</f>
        <v>CAR</v>
      </c>
      <c r="BW7" s="51">
        <f>Choix!B246</f>
        <v>6</v>
      </c>
      <c r="BX7" s="51">
        <f>Choix!G246</f>
        <v>0</v>
      </c>
      <c r="BY7" s="34" t="str">
        <f>Choix!A256</f>
        <v>CAR</v>
      </c>
      <c r="BZ7" s="51">
        <f>Choix!B256</f>
        <v>5</v>
      </c>
      <c r="CA7" s="51">
        <f>Choix!G256</f>
        <v>0</v>
      </c>
      <c r="CB7" s="34" t="str">
        <f>Choix!A266</f>
        <v>CAR</v>
      </c>
      <c r="CC7" s="51">
        <f>Choix!B266</f>
        <v>5</v>
      </c>
      <c r="CD7" s="51">
        <f>Choix!G266</f>
        <v>0</v>
      </c>
      <c r="CE7" s="34" t="str">
        <f>Choix!A276</f>
        <v>CAR</v>
      </c>
      <c r="CF7" s="51">
        <f>Choix!B276</f>
        <v>6</v>
      </c>
      <c r="CG7" s="51">
        <f>Choix!G276</f>
        <v>0</v>
      </c>
    </row>
    <row r="8" spans="1:85" x14ac:dyDescent="0.25">
      <c r="A8" s="7"/>
      <c r="B8" s="34" t="str">
        <f>Choix!A7</f>
        <v>PHI</v>
      </c>
      <c r="C8" s="51">
        <f>Choix!B7</f>
        <v>7</v>
      </c>
      <c r="D8" s="51">
        <f>Choix!G7</f>
        <v>0</v>
      </c>
      <c r="E8" s="35" t="str">
        <f>Choix!A17</f>
        <v>PIT</v>
      </c>
      <c r="F8" s="51">
        <f>Choix!B17</f>
        <v>5</v>
      </c>
      <c r="G8" s="51">
        <f>Choix!G17</f>
        <v>0</v>
      </c>
      <c r="H8" s="35" t="str">
        <f>Choix!A27</f>
        <v>PIT</v>
      </c>
      <c r="I8" s="51">
        <f>Choix!B27</f>
        <v>6</v>
      </c>
      <c r="J8" s="51">
        <f>Choix!G27</f>
        <v>0</v>
      </c>
      <c r="K8" s="35" t="str">
        <f>Choix!A37</f>
        <v>PIT</v>
      </c>
      <c r="L8" s="51">
        <f>Choix!B37</f>
        <v>7</v>
      </c>
      <c r="M8" s="51">
        <f>Choix!G37</f>
        <v>0</v>
      </c>
      <c r="N8" s="36" t="str">
        <f>Choix!A47</f>
        <v>PHI</v>
      </c>
      <c r="O8" s="51">
        <f>Choix!B47</f>
        <v>6</v>
      </c>
      <c r="P8" s="51">
        <f>Choix!G47</f>
        <v>0</v>
      </c>
      <c r="Q8" s="35" t="str">
        <f>Choix!A57</f>
        <v>PIT</v>
      </c>
      <c r="R8" s="51">
        <f>Choix!B57</f>
        <v>5</v>
      </c>
      <c r="S8" s="51">
        <f>Choix!G57</f>
        <v>0</v>
      </c>
      <c r="T8" s="35" t="str">
        <f>Choix!A67</f>
        <v>PIT</v>
      </c>
      <c r="U8" s="51">
        <f>Choix!B67</f>
        <v>6</v>
      </c>
      <c r="V8" s="51">
        <f>Choix!G67</f>
        <v>0</v>
      </c>
      <c r="W8" s="35" t="str">
        <f>Choix!A77</f>
        <v>PIT</v>
      </c>
      <c r="X8" s="51">
        <f>Choix!B77</f>
        <v>7</v>
      </c>
      <c r="Y8" s="51">
        <f>Choix!G77</f>
        <v>0</v>
      </c>
      <c r="Z8" s="35" t="str">
        <f>Choix!A87</f>
        <v>PIT</v>
      </c>
      <c r="AA8" s="51">
        <f>Choix!B87</f>
        <v>7</v>
      </c>
      <c r="AB8" s="51">
        <f>Choix!G87</f>
        <v>0</v>
      </c>
      <c r="AC8" s="35" t="str">
        <f>Choix!A97</f>
        <v>PIT</v>
      </c>
      <c r="AD8" s="51">
        <f>Choix!B97</f>
        <v>6</v>
      </c>
      <c r="AE8" s="51">
        <f>Choix!G97</f>
        <v>0</v>
      </c>
      <c r="AF8" s="35" t="str">
        <f>Choix!A107</f>
        <v>PIT</v>
      </c>
      <c r="AG8" s="51">
        <f>Choix!B107</f>
        <v>7</v>
      </c>
      <c r="AH8" s="51">
        <f>Choix!G107</f>
        <v>0</v>
      </c>
      <c r="AI8" s="35" t="str">
        <f>Choix!A117</f>
        <v>PIT</v>
      </c>
      <c r="AJ8" s="51">
        <f>Choix!B117</f>
        <v>5</v>
      </c>
      <c r="AK8" s="51">
        <f>Choix!G117</f>
        <v>0</v>
      </c>
      <c r="AL8" s="35" t="str">
        <f>Choix!A127</f>
        <v>PIT</v>
      </c>
      <c r="AM8" s="51">
        <f>Choix!B127</f>
        <v>5</v>
      </c>
      <c r="AN8" s="51">
        <f>Choix!G127</f>
        <v>0</v>
      </c>
      <c r="AO8" s="35" t="str">
        <f>Choix!A137</f>
        <v>PIT</v>
      </c>
      <c r="AP8" s="51">
        <f>Choix!B137</f>
        <v>6</v>
      </c>
      <c r="AQ8" s="51">
        <f>Choix!G137</f>
        <v>0</v>
      </c>
      <c r="AR8" s="36" t="str">
        <f>Choix!A147</f>
        <v>PHI</v>
      </c>
      <c r="AS8" s="51">
        <f>Choix!B147</f>
        <v>6</v>
      </c>
      <c r="AT8" s="51">
        <f>Choix!G147</f>
        <v>0</v>
      </c>
      <c r="AU8" s="34" t="str">
        <f>Choix!A157</f>
        <v>PHI</v>
      </c>
      <c r="AV8" s="51">
        <f>Choix!B157</f>
        <v>7</v>
      </c>
      <c r="AW8" s="51">
        <f>Choix!G157</f>
        <v>0</v>
      </c>
      <c r="AX8" s="35" t="str">
        <f>Choix!A167</f>
        <v>PIT</v>
      </c>
      <c r="AY8" s="51">
        <f>Choix!B167</f>
        <v>6</v>
      </c>
      <c r="AZ8" s="51">
        <f>Choix!G167</f>
        <v>0</v>
      </c>
      <c r="BA8" s="36" t="str">
        <f>Choix!A177</f>
        <v>PHI</v>
      </c>
      <c r="BB8" s="51">
        <f>Choix!B177</f>
        <v>6</v>
      </c>
      <c r="BC8" s="51">
        <f>Choix!G177</f>
        <v>0</v>
      </c>
      <c r="BD8" s="35" t="str">
        <f>Choix!A187</f>
        <v>PIT</v>
      </c>
      <c r="BE8" s="51">
        <f>Choix!B187</f>
        <v>7</v>
      </c>
      <c r="BF8" s="51">
        <f>Choix!G187</f>
        <v>0</v>
      </c>
      <c r="BG8" s="35" t="str">
        <f>Choix!A197</f>
        <v>PIT</v>
      </c>
      <c r="BH8" s="51">
        <f>Choix!B197</f>
        <v>7</v>
      </c>
      <c r="BI8" s="51">
        <f>Choix!G197</f>
        <v>0</v>
      </c>
      <c r="BJ8" s="35" t="str">
        <f>Choix!A207</f>
        <v>PIT</v>
      </c>
      <c r="BK8" s="51">
        <f>Choix!B207</f>
        <v>7</v>
      </c>
      <c r="BL8" s="51">
        <f>Choix!G207</f>
        <v>0</v>
      </c>
      <c r="BM8" s="35" t="str">
        <f>Choix!A217</f>
        <v>PIT</v>
      </c>
      <c r="BN8" s="51">
        <f>Choix!B217</f>
        <v>6</v>
      </c>
      <c r="BO8" s="51">
        <f>Choix!G217</f>
        <v>0</v>
      </c>
      <c r="BP8" s="36" t="str">
        <f>Choix!A227</f>
        <v>PHI</v>
      </c>
      <c r="BQ8" s="51">
        <f>Choix!B227</f>
        <v>6</v>
      </c>
      <c r="BR8" s="51">
        <f>Choix!G227</f>
        <v>0</v>
      </c>
      <c r="BS8" s="35" t="str">
        <f>Choix!A237</f>
        <v>PIT</v>
      </c>
      <c r="BT8" s="51">
        <f>Choix!B237</f>
        <v>7</v>
      </c>
      <c r="BU8" s="51">
        <f>Choix!G237</f>
        <v>0</v>
      </c>
      <c r="BV8" s="35" t="str">
        <f>Choix!A247</f>
        <v>PIT</v>
      </c>
      <c r="BW8" s="51">
        <f>Choix!B247</f>
        <v>7</v>
      </c>
      <c r="BX8" s="51">
        <f>Choix!G247</f>
        <v>0</v>
      </c>
      <c r="BY8" s="35" t="str">
        <f>Choix!A257</f>
        <v>PIT</v>
      </c>
      <c r="BZ8" s="51">
        <f>Choix!B257</f>
        <v>6</v>
      </c>
      <c r="CA8" s="51">
        <f>Choix!G257</f>
        <v>0</v>
      </c>
      <c r="CB8" s="35" t="str">
        <f>Choix!A267</f>
        <v>PIT</v>
      </c>
      <c r="CC8" s="51">
        <f>Choix!B267</f>
        <v>6</v>
      </c>
      <c r="CD8" s="51">
        <f>Choix!G267</f>
        <v>0</v>
      </c>
      <c r="CE8" s="36" t="str">
        <f>Choix!A277</f>
        <v>PHI</v>
      </c>
      <c r="CF8" s="51">
        <f>Choix!B277</f>
        <v>6</v>
      </c>
      <c r="CG8" s="51">
        <f>Choix!G277</f>
        <v>0</v>
      </c>
    </row>
    <row r="9" spans="1:85" x14ac:dyDescent="0.25">
      <c r="A9" s="7"/>
      <c r="B9" s="34" t="str">
        <f>Choix!A8</f>
        <v>COL</v>
      </c>
      <c r="C9" s="51">
        <f>Choix!B8</f>
        <v>5</v>
      </c>
      <c r="D9" s="51">
        <f>Choix!G8</f>
        <v>0</v>
      </c>
      <c r="E9" s="35" t="str">
        <f>Choix!A18</f>
        <v>LAK</v>
      </c>
      <c r="F9" s="51">
        <f>Choix!B18</f>
        <v>7</v>
      </c>
      <c r="G9" s="51">
        <f>Choix!G18</f>
        <v>0</v>
      </c>
      <c r="H9" s="34" t="str">
        <f>Choix!A28</f>
        <v>COL</v>
      </c>
      <c r="I9" s="51">
        <f>Choix!B28</f>
        <v>7</v>
      </c>
      <c r="J9" s="51">
        <f>Choix!G28</f>
        <v>0</v>
      </c>
      <c r="K9" s="34" t="str">
        <f>Choix!A38</f>
        <v>COL</v>
      </c>
      <c r="L9" s="51">
        <f>Choix!B38</f>
        <v>5</v>
      </c>
      <c r="M9" s="51">
        <f>Choix!G38</f>
        <v>0</v>
      </c>
      <c r="N9" s="34" t="str">
        <f>Choix!A48</f>
        <v>COL</v>
      </c>
      <c r="O9" s="51">
        <f>Choix!B48</f>
        <v>5</v>
      </c>
      <c r="P9" s="51">
        <f>Choix!G48</f>
        <v>0</v>
      </c>
      <c r="Q9" s="36" t="str">
        <f>Choix!A58</f>
        <v>COL</v>
      </c>
      <c r="R9" s="51">
        <f>Choix!B58</f>
        <v>4</v>
      </c>
      <c r="S9" s="51">
        <f>Choix!G58</f>
        <v>0</v>
      </c>
      <c r="T9" s="34" t="str">
        <f>Choix!A68</f>
        <v>COL</v>
      </c>
      <c r="U9" s="51">
        <f>Choix!B68</f>
        <v>5</v>
      </c>
      <c r="V9" s="51">
        <f>Choix!G68</f>
        <v>0</v>
      </c>
      <c r="W9" s="34" t="str">
        <f>Choix!A78</f>
        <v>COL</v>
      </c>
      <c r="X9" s="51">
        <f>Choix!B78</f>
        <v>5</v>
      </c>
      <c r="Y9" s="51">
        <f>Choix!G78</f>
        <v>0</v>
      </c>
      <c r="Z9" s="36" t="str">
        <f>Choix!A88</f>
        <v>COL</v>
      </c>
      <c r="AA9" s="51">
        <f>Choix!B88</f>
        <v>4</v>
      </c>
      <c r="AB9" s="51">
        <f>Choix!G88</f>
        <v>0</v>
      </c>
      <c r="AC9" s="34" t="str">
        <f>Choix!A98</f>
        <v>COL</v>
      </c>
      <c r="AD9" s="51">
        <f>Choix!B98</f>
        <v>5</v>
      </c>
      <c r="AE9" s="51">
        <f>Choix!G98</f>
        <v>0</v>
      </c>
      <c r="AF9" s="34" t="str">
        <f>Choix!A108</f>
        <v>COL</v>
      </c>
      <c r="AG9" s="51">
        <f>Choix!B108</f>
        <v>5</v>
      </c>
      <c r="AH9" s="51">
        <f>Choix!G108</f>
        <v>0</v>
      </c>
      <c r="AI9" s="36" t="str">
        <f>Choix!A118</f>
        <v>COL</v>
      </c>
      <c r="AJ9" s="51">
        <f>Choix!B118</f>
        <v>4</v>
      </c>
      <c r="AK9" s="51">
        <f>Choix!G118</f>
        <v>0</v>
      </c>
      <c r="AL9" s="36" t="str">
        <f>Choix!A128</f>
        <v>COL</v>
      </c>
      <c r="AM9" s="51">
        <f>Choix!B128</f>
        <v>4</v>
      </c>
      <c r="AN9" s="51">
        <f>Choix!G128</f>
        <v>0</v>
      </c>
      <c r="AO9" s="36" t="str">
        <f>Choix!A138</f>
        <v>COL</v>
      </c>
      <c r="AP9" s="51">
        <f>Choix!B138</f>
        <v>4</v>
      </c>
      <c r="AQ9" s="51">
        <f>Choix!G138</f>
        <v>0</v>
      </c>
      <c r="AR9" s="34" t="str">
        <f>Choix!A148</f>
        <v>COL</v>
      </c>
      <c r="AS9" s="51">
        <f>Choix!B148</f>
        <v>6</v>
      </c>
      <c r="AT9" s="51">
        <f>Choix!G148</f>
        <v>0</v>
      </c>
      <c r="AU9" s="36" t="str">
        <f>Choix!A158</f>
        <v>COL</v>
      </c>
      <c r="AV9" s="51">
        <f>Choix!B158</f>
        <v>4</v>
      </c>
      <c r="AW9" s="51">
        <f>Choix!G158</f>
        <v>0</v>
      </c>
      <c r="AX9" s="36" t="str">
        <f>Choix!A168</f>
        <v>COL</v>
      </c>
      <c r="AY9" s="51">
        <f>Choix!B168</f>
        <v>4</v>
      </c>
      <c r="AZ9" s="51">
        <f>Choix!G168</f>
        <v>0</v>
      </c>
      <c r="BA9" s="36" t="str">
        <f>Choix!A178</f>
        <v>COL</v>
      </c>
      <c r="BB9" s="51">
        <f>Choix!B178</f>
        <v>4</v>
      </c>
      <c r="BC9" s="51">
        <f>Choix!G178</f>
        <v>0</v>
      </c>
      <c r="BD9" s="36" t="str">
        <f>Choix!A188</f>
        <v>COL</v>
      </c>
      <c r="BE9" s="51">
        <f>Choix!B188</f>
        <v>4</v>
      </c>
      <c r="BF9" s="51">
        <f>Choix!G188</f>
        <v>0</v>
      </c>
      <c r="BG9" s="34" t="str">
        <f>Choix!A198</f>
        <v>COL</v>
      </c>
      <c r="BH9" s="51">
        <f>Choix!B198</f>
        <v>5</v>
      </c>
      <c r="BI9" s="51">
        <f>Choix!G198</f>
        <v>0</v>
      </c>
      <c r="BJ9" s="35" t="str">
        <f>Choix!A208</f>
        <v>LAK</v>
      </c>
      <c r="BK9" s="51">
        <f>Choix!B208</f>
        <v>4</v>
      </c>
      <c r="BL9" s="51">
        <f>Choix!G208</f>
        <v>0</v>
      </c>
      <c r="BM9" s="34" t="str">
        <f>Choix!A218</f>
        <v>COL</v>
      </c>
      <c r="BN9" s="51">
        <f>Choix!B218</f>
        <v>5</v>
      </c>
      <c r="BO9" s="51">
        <f>Choix!G218</f>
        <v>0</v>
      </c>
      <c r="BP9" s="34" t="str">
        <f>Choix!A228</f>
        <v>COL</v>
      </c>
      <c r="BQ9" s="51">
        <f>Choix!B228</f>
        <v>6</v>
      </c>
      <c r="BR9" s="51">
        <f>Choix!G228</f>
        <v>0</v>
      </c>
      <c r="BS9" s="34" t="str">
        <f>Choix!A238</f>
        <v>COL</v>
      </c>
      <c r="BT9" s="51">
        <f>Choix!B238</f>
        <v>5</v>
      </c>
      <c r="BU9" s="51">
        <f>Choix!G238</f>
        <v>0</v>
      </c>
      <c r="BV9" s="36" t="str">
        <f>Choix!A248</f>
        <v>COL</v>
      </c>
      <c r="BW9" s="51">
        <f>Choix!B248</f>
        <v>4</v>
      </c>
      <c r="BX9" s="51">
        <f>Choix!G248</f>
        <v>0</v>
      </c>
      <c r="BY9" s="34" t="str">
        <f>Choix!A258</f>
        <v>COL</v>
      </c>
      <c r="BZ9" s="51">
        <f>Choix!B258</f>
        <v>5</v>
      </c>
      <c r="CA9" s="51">
        <f>Choix!G258</f>
        <v>0</v>
      </c>
      <c r="CB9" s="34" t="str">
        <f>Choix!A268</f>
        <v>COL</v>
      </c>
      <c r="CC9" s="51">
        <f>Choix!B268</f>
        <v>6</v>
      </c>
      <c r="CD9" s="51">
        <f>Choix!G268</f>
        <v>0</v>
      </c>
      <c r="CE9" s="34" t="str">
        <f>Choix!A278</f>
        <v>COL</v>
      </c>
      <c r="CF9" s="51">
        <f>Choix!B278</f>
        <v>5</v>
      </c>
      <c r="CG9" s="51">
        <f>Choix!G278</f>
        <v>0</v>
      </c>
    </row>
    <row r="10" spans="1:85" x14ac:dyDescent="0.25">
      <c r="A10" s="7"/>
      <c r="B10" s="35" t="str">
        <f>Choix!A9</f>
        <v>DAL</v>
      </c>
      <c r="C10" s="51">
        <f>Choix!B9</f>
        <v>7</v>
      </c>
      <c r="D10" s="51">
        <f>Choix!G9</f>
        <v>0</v>
      </c>
      <c r="E10" s="35" t="str">
        <f>Choix!A19</f>
        <v>DAL</v>
      </c>
      <c r="F10" s="51">
        <f>Choix!B19</f>
        <v>6</v>
      </c>
      <c r="G10" s="51">
        <f>Choix!G19</f>
        <v>0</v>
      </c>
      <c r="H10" s="35" t="str">
        <f>Choix!A29</f>
        <v>DAL</v>
      </c>
      <c r="I10" s="51">
        <f>Choix!B29</f>
        <v>7</v>
      </c>
      <c r="J10" s="51">
        <f>Choix!G29</f>
        <v>0</v>
      </c>
      <c r="K10" s="35" t="str">
        <f>Choix!A39</f>
        <v>DAL</v>
      </c>
      <c r="L10" s="51">
        <f>Choix!B39</f>
        <v>6</v>
      </c>
      <c r="M10" s="51">
        <f>Choix!G39</f>
        <v>0</v>
      </c>
      <c r="N10" s="35" t="str">
        <f>Choix!A49</f>
        <v>DAL</v>
      </c>
      <c r="O10" s="51">
        <f>Choix!B49</f>
        <v>6</v>
      </c>
      <c r="P10" s="51">
        <f>Choix!G49</f>
        <v>0</v>
      </c>
      <c r="Q10" s="35" t="str">
        <f>Choix!A59</f>
        <v>DAL</v>
      </c>
      <c r="R10" s="51">
        <f>Choix!B59</f>
        <v>7</v>
      </c>
      <c r="S10" s="51">
        <f>Choix!G59</f>
        <v>0</v>
      </c>
      <c r="T10" s="35" t="str">
        <f>Choix!A69</f>
        <v>DAL</v>
      </c>
      <c r="U10" s="51">
        <f>Choix!B69</f>
        <v>6</v>
      </c>
      <c r="V10" s="51">
        <f>Choix!G69</f>
        <v>0</v>
      </c>
      <c r="W10" s="35" t="str">
        <f>Choix!A79</f>
        <v>DAL</v>
      </c>
      <c r="X10" s="51">
        <f>Choix!B79</f>
        <v>7</v>
      </c>
      <c r="Y10" s="51">
        <f>Choix!G79</f>
        <v>0</v>
      </c>
      <c r="Z10" s="35" t="str">
        <f>Choix!A89</f>
        <v>DAL</v>
      </c>
      <c r="AA10" s="51">
        <f>Choix!B89</f>
        <v>7</v>
      </c>
      <c r="AB10" s="51">
        <f>Choix!G89</f>
        <v>0</v>
      </c>
      <c r="AC10" s="35" t="str">
        <f>Choix!A99</f>
        <v>DAL</v>
      </c>
      <c r="AD10" s="51">
        <f>Choix!B99</f>
        <v>7</v>
      </c>
      <c r="AE10" s="51">
        <f>Choix!G99</f>
        <v>0</v>
      </c>
      <c r="AF10" s="35" t="str">
        <f>Choix!A109</f>
        <v>DAL</v>
      </c>
      <c r="AG10" s="51">
        <f>Choix!B109</f>
        <v>7</v>
      </c>
      <c r="AH10" s="51">
        <f>Choix!G109</f>
        <v>0</v>
      </c>
      <c r="AI10" s="35" t="str">
        <f>Choix!A119</f>
        <v>DAL</v>
      </c>
      <c r="AJ10" s="51">
        <f>Choix!B119</f>
        <v>7</v>
      </c>
      <c r="AK10" s="51">
        <f>Choix!G119</f>
        <v>0</v>
      </c>
      <c r="AL10" s="35" t="str">
        <f>Choix!A129</f>
        <v>DAL</v>
      </c>
      <c r="AM10" s="51">
        <f>Choix!B129</f>
        <v>7</v>
      </c>
      <c r="AN10" s="51">
        <f>Choix!G129</f>
        <v>0</v>
      </c>
      <c r="AO10" s="35" t="str">
        <f>Choix!A139</f>
        <v>DAL</v>
      </c>
      <c r="AP10" s="51">
        <f>Choix!B139</f>
        <v>6</v>
      </c>
      <c r="AQ10" s="51">
        <f>Choix!G139</f>
        <v>0</v>
      </c>
      <c r="AR10" s="35" t="str">
        <f>Choix!A149</f>
        <v>DAL</v>
      </c>
      <c r="AS10" s="51">
        <f>Choix!B149</f>
        <v>7</v>
      </c>
      <c r="AT10" s="51">
        <f>Choix!G149</f>
        <v>0</v>
      </c>
      <c r="AU10" s="35" t="str">
        <f>Choix!A159</f>
        <v>DAL</v>
      </c>
      <c r="AV10" s="51">
        <f>Choix!B159</f>
        <v>6</v>
      </c>
      <c r="AW10" s="51">
        <f>Choix!G159</f>
        <v>0</v>
      </c>
      <c r="AX10" s="34" t="str">
        <f>Choix!A169</f>
        <v>MIN</v>
      </c>
      <c r="AY10" s="51">
        <f>Choix!B169</f>
        <v>7</v>
      </c>
      <c r="AZ10" s="51">
        <f>Choix!G169</f>
        <v>0</v>
      </c>
      <c r="BA10" s="36" t="str">
        <f>Choix!A179</f>
        <v>MIN</v>
      </c>
      <c r="BB10" s="51">
        <f>Choix!B179</f>
        <v>6</v>
      </c>
      <c r="BC10" s="51">
        <f>Choix!G179</f>
        <v>0</v>
      </c>
      <c r="BD10" s="35" t="str">
        <f>Choix!A189</f>
        <v>DAL</v>
      </c>
      <c r="BE10" s="51">
        <f>Choix!B189</f>
        <v>7</v>
      </c>
      <c r="BF10" s="51">
        <f>Choix!G189</f>
        <v>0</v>
      </c>
      <c r="BG10" s="35" t="str">
        <f>Choix!A199</f>
        <v>DAL</v>
      </c>
      <c r="BH10" s="51">
        <f>Choix!B199</f>
        <v>6</v>
      </c>
      <c r="BI10" s="51">
        <f>Choix!G199</f>
        <v>0</v>
      </c>
      <c r="BJ10" s="35" t="str">
        <f>Choix!A209</f>
        <v>DAL</v>
      </c>
      <c r="BK10" s="51">
        <f>Choix!B209</f>
        <v>7</v>
      </c>
      <c r="BL10" s="51">
        <f>Choix!G209</f>
        <v>0</v>
      </c>
      <c r="BM10" s="35" t="str">
        <f>Choix!A219</f>
        <v>DAL</v>
      </c>
      <c r="BN10" s="51">
        <f>Choix!B219</f>
        <v>7</v>
      </c>
      <c r="BO10" s="51">
        <f>Choix!G219</f>
        <v>0</v>
      </c>
      <c r="BP10" s="35" t="str">
        <f>Choix!A229</f>
        <v>DAL</v>
      </c>
      <c r="BQ10" s="51">
        <f>Choix!B229</f>
        <v>6</v>
      </c>
      <c r="BR10" s="51">
        <f>Choix!G229</f>
        <v>0</v>
      </c>
      <c r="BS10" s="35" t="str">
        <f>Choix!A239</f>
        <v>DAL</v>
      </c>
      <c r="BT10" s="51">
        <f>Choix!B239</f>
        <v>7</v>
      </c>
      <c r="BU10" s="51">
        <f>Choix!G239</f>
        <v>0</v>
      </c>
      <c r="BV10" s="35" t="str">
        <f>Choix!A249</f>
        <v>DAL</v>
      </c>
      <c r="BW10" s="51">
        <f>Choix!B249</f>
        <v>6</v>
      </c>
      <c r="BX10" s="51">
        <f>Choix!G249</f>
        <v>0</v>
      </c>
      <c r="BY10" s="35" t="str">
        <f>Choix!A259</f>
        <v>DAL</v>
      </c>
      <c r="BZ10" s="51">
        <f>Choix!B259</f>
        <v>7</v>
      </c>
      <c r="CA10" s="51">
        <f>Choix!G259</f>
        <v>0</v>
      </c>
      <c r="CB10" s="35" t="str">
        <f>Choix!A269</f>
        <v>DAL</v>
      </c>
      <c r="CC10" s="51">
        <f>Choix!B269</f>
        <v>6</v>
      </c>
      <c r="CD10" s="51">
        <f>Choix!G269</f>
        <v>0</v>
      </c>
      <c r="CE10" s="35" t="str">
        <f>Choix!A279</f>
        <v>DAL</v>
      </c>
      <c r="CF10" s="51">
        <f>Choix!B279</f>
        <v>6</v>
      </c>
      <c r="CG10" s="51">
        <f>Choix!G279</f>
        <v>0</v>
      </c>
    </row>
    <row r="11" spans="1:85" x14ac:dyDescent="0.25">
      <c r="A11" s="7"/>
      <c r="B11" s="35" t="str">
        <f>Choix!A10</f>
        <v>EDM</v>
      </c>
      <c r="C11" s="51">
        <f>Choix!B10</f>
        <v>5</v>
      </c>
      <c r="D11" s="51">
        <f>Choix!G10</f>
        <v>0</v>
      </c>
      <c r="E11" s="35" t="str">
        <f>Choix!A20</f>
        <v>EDM</v>
      </c>
      <c r="F11" s="51">
        <f>Choix!B20</f>
        <v>4</v>
      </c>
      <c r="G11" s="51">
        <f>Choix!G20</f>
        <v>0</v>
      </c>
      <c r="H11" s="34" t="str">
        <f>Choix!A30</f>
        <v>ANA</v>
      </c>
      <c r="I11" s="51">
        <f>Choix!B30</f>
        <v>4</v>
      </c>
      <c r="J11" s="51">
        <f>Choix!G30</f>
        <v>0</v>
      </c>
      <c r="K11" s="35" t="str">
        <f>Choix!A40</f>
        <v>EDM</v>
      </c>
      <c r="L11" s="51">
        <f>Choix!B40</f>
        <v>6</v>
      </c>
      <c r="M11" s="51">
        <f>Choix!G40</f>
        <v>0</v>
      </c>
      <c r="N11" s="35" t="str">
        <f>Choix!A50</f>
        <v>EDM</v>
      </c>
      <c r="O11" s="51">
        <f>Choix!B50</f>
        <v>6</v>
      </c>
      <c r="P11" s="51">
        <f>Choix!G50</f>
        <v>0</v>
      </c>
      <c r="Q11" s="35" t="str">
        <f>Choix!A60</f>
        <v>EDM</v>
      </c>
      <c r="R11" s="51">
        <f>Choix!B60</f>
        <v>5</v>
      </c>
      <c r="S11" s="51">
        <f>Choix!G60</f>
        <v>0</v>
      </c>
      <c r="T11" s="35" t="str">
        <f>Choix!A70</f>
        <v>EDM</v>
      </c>
      <c r="U11" s="51">
        <f>Choix!B70</f>
        <v>6</v>
      </c>
      <c r="V11" s="51">
        <f>Choix!G70</f>
        <v>0</v>
      </c>
      <c r="W11" s="34" t="str">
        <f>Choix!A80</f>
        <v>ANA</v>
      </c>
      <c r="X11" s="51">
        <f>Choix!B80</f>
        <v>7</v>
      </c>
      <c r="Y11" s="51">
        <f>Choix!G80</f>
        <v>0</v>
      </c>
      <c r="Z11" s="35" t="str">
        <f>Choix!A90</f>
        <v>EDM</v>
      </c>
      <c r="AA11" s="51">
        <f>Choix!B90</f>
        <v>6</v>
      </c>
      <c r="AB11" s="51">
        <f>Choix!G90</f>
        <v>0</v>
      </c>
      <c r="AC11" s="35" t="str">
        <f>Choix!A100</f>
        <v>EDM</v>
      </c>
      <c r="AD11" s="51">
        <f>Choix!B100</f>
        <v>5</v>
      </c>
      <c r="AE11" s="51">
        <f>Choix!G100</f>
        <v>0</v>
      </c>
      <c r="AF11" s="35" t="str">
        <f>Choix!A110</f>
        <v>EDM</v>
      </c>
      <c r="AG11" s="51">
        <f>Choix!B110</f>
        <v>7</v>
      </c>
      <c r="AH11" s="51">
        <f>Choix!G110</f>
        <v>0</v>
      </c>
      <c r="AI11" s="35" t="str">
        <f>Choix!A120</f>
        <v>EDM</v>
      </c>
      <c r="AJ11" s="51">
        <f>Choix!B120</f>
        <v>5</v>
      </c>
      <c r="AK11" s="51">
        <f>Choix!G120</f>
        <v>0</v>
      </c>
      <c r="AL11" s="35" t="str">
        <f>Choix!A130</f>
        <v>EDM</v>
      </c>
      <c r="AM11" s="51">
        <f>Choix!B130</f>
        <v>6</v>
      </c>
      <c r="AN11" s="51">
        <f>Choix!G130</f>
        <v>0</v>
      </c>
      <c r="AO11" s="35" t="str">
        <f>Choix!A140</f>
        <v>EDM</v>
      </c>
      <c r="AP11" s="51">
        <f>Choix!B140</f>
        <v>6</v>
      </c>
      <c r="AQ11" s="51">
        <f>Choix!G140</f>
        <v>0</v>
      </c>
      <c r="AR11" s="35" t="str">
        <f>Choix!A150</f>
        <v>EDM</v>
      </c>
      <c r="AS11" s="51">
        <f>Choix!B150</f>
        <v>5</v>
      </c>
      <c r="AT11" s="51">
        <f>Choix!G150</f>
        <v>0</v>
      </c>
      <c r="AU11" s="34" t="str">
        <f>Choix!A160</f>
        <v>ANA</v>
      </c>
      <c r="AV11" s="51">
        <f>Choix!B160</f>
        <v>7</v>
      </c>
      <c r="AW11" s="51">
        <f>Choix!G160</f>
        <v>0</v>
      </c>
      <c r="AX11" s="35" t="str">
        <f>Choix!A170</f>
        <v>EDM</v>
      </c>
      <c r="AY11" s="51">
        <f>Choix!B170</f>
        <v>7</v>
      </c>
      <c r="AZ11" s="51">
        <f>Choix!G170</f>
        <v>0</v>
      </c>
      <c r="BA11" s="35" t="str">
        <f>Choix!A180</f>
        <v>EDM</v>
      </c>
      <c r="BB11" s="51">
        <f>Choix!B180</f>
        <v>5</v>
      </c>
      <c r="BC11" s="51">
        <f>Choix!G180</f>
        <v>0</v>
      </c>
      <c r="BD11" s="35" t="str">
        <f>Choix!A190</f>
        <v>EDM</v>
      </c>
      <c r="BE11" s="51">
        <f>Choix!B190</f>
        <v>5</v>
      </c>
      <c r="BF11" s="51">
        <f>Choix!G190</f>
        <v>0</v>
      </c>
      <c r="BG11" s="35" t="str">
        <f>Choix!A200</f>
        <v>EDM</v>
      </c>
      <c r="BH11" s="51">
        <f>Choix!B200</f>
        <v>7</v>
      </c>
      <c r="BI11" s="51">
        <f>Choix!G200</f>
        <v>0</v>
      </c>
      <c r="BJ11" s="35" t="str">
        <f>Choix!A210</f>
        <v>EDM</v>
      </c>
      <c r="BK11" s="51">
        <f>Choix!B210</f>
        <v>4</v>
      </c>
      <c r="BL11" s="51">
        <f>Choix!G210</f>
        <v>0</v>
      </c>
      <c r="BM11" s="35" t="str">
        <f>Choix!A220</f>
        <v>EDM</v>
      </c>
      <c r="BN11" s="51">
        <f>Choix!B220</f>
        <v>5</v>
      </c>
      <c r="BO11" s="51">
        <f>Choix!G220</f>
        <v>0</v>
      </c>
      <c r="BP11" s="35" t="str">
        <f>Choix!A230</f>
        <v>EDM</v>
      </c>
      <c r="BQ11" s="51">
        <f>Choix!B230</f>
        <v>6</v>
      </c>
      <c r="BR11" s="51">
        <f>Choix!G230</f>
        <v>0</v>
      </c>
      <c r="BS11" s="35" t="str">
        <f>Choix!A240</f>
        <v>EDM</v>
      </c>
      <c r="BT11" s="51">
        <f>Choix!B240</f>
        <v>6</v>
      </c>
      <c r="BU11" s="51">
        <f>Choix!G240</f>
        <v>0</v>
      </c>
      <c r="BV11" s="35" t="str">
        <f>Choix!A250</f>
        <v>EDM</v>
      </c>
      <c r="BW11" s="51">
        <f>Choix!B250</f>
        <v>6</v>
      </c>
      <c r="BX11" s="51">
        <f>Choix!G250</f>
        <v>0</v>
      </c>
      <c r="BY11" s="35" t="str">
        <f>Choix!A260</f>
        <v>EDM</v>
      </c>
      <c r="BZ11" s="51">
        <f>Choix!B260</f>
        <v>5</v>
      </c>
      <c r="CA11" s="51">
        <f>Choix!G260</f>
        <v>0</v>
      </c>
      <c r="CB11" s="35" t="str">
        <f>Choix!A270</f>
        <v>EDM</v>
      </c>
      <c r="CC11" s="51">
        <f>Choix!B270</f>
        <v>5</v>
      </c>
      <c r="CD11" s="51">
        <f>Choix!G270</f>
        <v>0</v>
      </c>
      <c r="CE11" s="35" t="str">
        <f>Choix!A280</f>
        <v>EDM</v>
      </c>
      <c r="CF11" s="51">
        <f>Choix!B280</f>
        <v>6</v>
      </c>
      <c r="CG11" s="51">
        <f>Choix!G280</f>
        <v>0</v>
      </c>
    </row>
    <row r="12" spans="1:85" x14ac:dyDescent="0.25">
      <c r="A12" s="7"/>
      <c r="B12" s="35" t="str">
        <f>Choix!A11</f>
        <v>UTA</v>
      </c>
      <c r="C12" s="51">
        <f>Choix!B11</f>
        <v>6</v>
      </c>
      <c r="D12" s="51">
        <f>Choix!G11</f>
        <v>0</v>
      </c>
      <c r="E12" s="34" t="str">
        <f>Choix!A21</f>
        <v>VGK</v>
      </c>
      <c r="F12" s="51">
        <f>Choix!B21</f>
        <v>5</v>
      </c>
      <c r="G12" s="51">
        <f>Choix!G21</f>
        <v>0</v>
      </c>
      <c r="H12" s="34" t="str">
        <f>Choix!A31</f>
        <v>VGK</v>
      </c>
      <c r="I12" s="51">
        <f>Choix!B31</f>
        <v>7</v>
      </c>
      <c r="J12" s="51">
        <f>Choix!G31</f>
        <v>0</v>
      </c>
      <c r="K12" s="36" t="str">
        <f>Choix!A41</f>
        <v>VGK</v>
      </c>
      <c r="L12" s="51">
        <f>Choix!B41</f>
        <v>6</v>
      </c>
      <c r="M12" s="51">
        <f>Choix!G41</f>
        <v>0</v>
      </c>
      <c r="N12" s="35" t="str">
        <f>Choix!A51</f>
        <v>UTA</v>
      </c>
      <c r="O12" s="51">
        <f>Choix!B51</f>
        <v>6</v>
      </c>
      <c r="P12" s="51">
        <f>Choix!G51</f>
        <v>0</v>
      </c>
      <c r="Q12" s="34" t="str">
        <f>Choix!A61</f>
        <v>VGK</v>
      </c>
      <c r="R12" s="51">
        <f>Choix!B61</f>
        <v>7</v>
      </c>
      <c r="S12" s="51">
        <f>Choix!G61</f>
        <v>0</v>
      </c>
      <c r="T12" s="34" t="str">
        <f>Choix!A71</f>
        <v>VGK</v>
      </c>
      <c r="U12" s="51">
        <f>Choix!B71</f>
        <v>5</v>
      </c>
      <c r="V12" s="51">
        <f>Choix!G71</f>
        <v>0</v>
      </c>
      <c r="W12" s="34" t="str">
        <f>Choix!A81</f>
        <v>VGK</v>
      </c>
      <c r="X12" s="51">
        <f>Choix!B81</f>
        <v>7</v>
      </c>
      <c r="Y12" s="51">
        <f>Choix!G81</f>
        <v>0</v>
      </c>
      <c r="Z12" s="35" t="str">
        <f>Choix!A91</f>
        <v>UTA</v>
      </c>
      <c r="AA12" s="51">
        <f>Choix!B91</f>
        <v>6</v>
      </c>
      <c r="AB12" s="51">
        <f>Choix!G91</f>
        <v>0</v>
      </c>
      <c r="AC12" s="36" t="str">
        <f>Choix!A101</f>
        <v>VGK</v>
      </c>
      <c r="AD12" s="51">
        <f>Choix!B101</f>
        <v>6</v>
      </c>
      <c r="AE12" s="51">
        <f>Choix!G101</f>
        <v>0</v>
      </c>
      <c r="AF12" s="34" t="str">
        <f>Choix!A111</f>
        <v>VGK</v>
      </c>
      <c r="AG12" s="51">
        <f>Choix!B111</f>
        <v>5</v>
      </c>
      <c r="AH12" s="51">
        <f>Choix!G111</f>
        <v>0</v>
      </c>
      <c r="AI12" s="35" t="str">
        <f>Choix!A121</f>
        <v>UTA</v>
      </c>
      <c r="AJ12" s="51">
        <f>Choix!B121</f>
        <v>7</v>
      </c>
      <c r="AK12" s="51">
        <f>Choix!G121</f>
        <v>0</v>
      </c>
      <c r="AL12" s="35" t="str">
        <f>Choix!A131</f>
        <v>UTA</v>
      </c>
      <c r="AM12" s="51">
        <f>Choix!B131</f>
        <v>5</v>
      </c>
      <c r="AN12" s="51">
        <f>Choix!G131</f>
        <v>0</v>
      </c>
      <c r="AO12" s="34" t="str">
        <f>Choix!A141</f>
        <v>VGK</v>
      </c>
      <c r="AP12" s="51">
        <f>Choix!B141</f>
        <v>5</v>
      </c>
      <c r="AQ12" s="51">
        <f>Choix!G141</f>
        <v>0</v>
      </c>
      <c r="AR12" s="36" t="str">
        <f>Choix!A151</f>
        <v>VGK</v>
      </c>
      <c r="AS12" s="51">
        <f>Choix!B151</f>
        <v>6</v>
      </c>
      <c r="AT12" s="51">
        <f>Choix!G151</f>
        <v>0</v>
      </c>
      <c r="AU12" s="34" t="str">
        <f>Choix!A161</f>
        <v>VGK</v>
      </c>
      <c r="AV12" s="51">
        <f>Choix!B161</f>
        <v>5</v>
      </c>
      <c r="AW12" s="51">
        <f>Choix!G161</f>
        <v>0</v>
      </c>
      <c r="AX12" s="35" t="str">
        <f>Choix!A171</f>
        <v>UTA</v>
      </c>
      <c r="AY12" s="51">
        <f>Choix!B171</f>
        <v>6</v>
      </c>
      <c r="AZ12" s="51">
        <f>Choix!G171</f>
        <v>0</v>
      </c>
      <c r="BA12" s="34" t="str">
        <f>Choix!A181</f>
        <v>VGK</v>
      </c>
      <c r="BB12" s="51">
        <f>Choix!B181</f>
        <v>7</v>
      </c>
      <c r="BC12" s="51">
        <f>Choix!G181</f>
        <v>0</v>
      </c>
      <c r="BD12" s="36" t="str">
        <f>Choix!A191</f>
        <v>VGK</v>
      </c>
      <c r="BE12" s="51">
        <f>Choix!B191</f>
        <v>6</v>
      </c>
      <c r="BF12" s="51">
        <f>Choix!G191</f>
        <v>0</v>
      </c>
      <c r="BG12" s="34" t="str">
        <f>Choix!A201</f>
        <v>VGK</v>
      </c>
      <c r="BH12" s="51">
        <f>Choix!B201</f>
        <v>5</v>
      </c>
      <c r="BI12" s="51">
        <f>Choix!G201</f>
        <v>0</v>
      </c>
      <c r="BJ12" s="36" t="str">
        <f>Choix!A211</f>
        <v>VGK</v>
      </c>
      <c r="BK12" s="51">
        <f>Choix!B211</f>
        <v>6</v>
      </c>
      <c r="BL12" s="51">
        <f>Choix!G211</f>
        <v>0</v>
      </c>
      <c r="BM12" s="36" t="str">
        <f>Choix!A221</f>
        <v>VGK</v>
      </c>
      <c r="BN12" s="51">
        <f>Choix!B221</f>
        <v>6</v>
      </c>
      <c r="BO12" s="51">
        <f>Choix!G221</f>
        <v>0</v>
      </c>
      <c r="BP12" s="36" t="str">
        <f>Choix!A231</f>
        <v>VGK</v>
      </c>
      <c r="BQ12" s="51">
        <f>Choix!B231</f>
        <v>6</v>
      </c>
      <c r="BR12" s="51">
        <f>Choix!G231</f>
        <v>0</v>
      </c>
      <c r="BS12" s="36" t="str">
        <f>Choix!A241</f>
        <v>VGK</v>
      </c>
      <c r="BT12" s="51">
        <f>Choix!B241</f>
        <v>6</v>
      </c>
      <c r="BU12" s="51">
        <f>Choix!G241</f>
        <v>0</v>
      </c>
      <c r="BV12" s="34" t="str">
        <f>Choix!A251</f>
        <v>VGK</v>
      </c>
      <c r="BW12" s="51">
        <f>Choix!B251</f>
        <v>5</v>
      </c>
      <c r="BX12" s="51">
        <f>Choix!G251</f>
        <v>0</v>
      </c>
      <c r="BY12" s="36" t="str">
        <f>Choix!A261</f>
        <v>VGK</v>
      </c>
      <c r="BZ12" s="51">
        <f>Choix!B261</f>
        <v>6</v>
      </c>
      <c r="CA12" s="51">
        <f>Choix!G261</f>
        <v>0</v>
      </c>
      <c r="CB12" s="36" t="str">
        <f>Choix!A271</f>
        <v>VGK</v>
      </c>
      <c r="CC12" s="51">
        <f>Choix!B271</f>
        <v>6</v>
      </c>
      <c r="CD12" s="51">
        <f>Choix!G271</f>
        <v>0</v>
      </c>
      <c r="CE12" s="34" t="str">
        <f>Choix!A281</f>
        <v>VGK</v>
      </c>
      <c r="CF12" s="51">
        <f>Choix!B281</f>
        <v>7</v>
      </c>
      <c r="CG12" s="51">
        <f>Choix!G281</f>
        <v>0</v>
      </c>
    </row>
    <row r="13" spans="1:85" x14ac:dyDescent="0.25">
      <c r="B13" s="7"/>
      <c r="U13" s="7"/>
      <c r="V13" s="7"/>
    </row>
    <row r="14" spans="1:85" x14ac:dyDescent="0.25">
      <c r="A14" t="s">
        <v>26</v>
      </c>
      <c r="B14" s="3"/>
      <c r="C14" s="4">
        <v>0</v>
      </c>
      <c r="D14" s="4">
        <v>0</v>
      </c>
      <c r="E14" s="3"/>
      <c r="F14" s="4">
        <v>0</v>
      </c>
      <c r="G14" s="4">
        <v>0</v>
      </c>
      <c r="H14" s="3"/>
      <c r="I14" s="4">
        <v>0</v>
      </c>
      <c r="J14" s="4">
        <v>0</v>
      </c>
      <c r="K14" s="3"/>
      <c r="L14" s="4">
        <v>0</v>
      </c>
      <c r="M14" s="4">
        <v>0</v>
      </c>
      <c r="N14" s="3"/>
      <c r="O14" s="4">
        <v>0</v>
      </c>
      <c r="P14" s="4">
        <v>0</v>
      </c>
      <c r="Q14" s="3"/>
      <c r="R14" s="4">
        <v>0</v>
      </c>
      <c r="S14" s="4">
        <v>0</v>
      </c>
      <c r="T14" s="3"/>
      <c r="U14" s="4">
        <v>0</v>
      </c>
      <c r="V14" s="4">
        <v>0</v>
      </c>
      <c r="W14" s="3"/>
      <c r="X14" s="4">
        <v>0</v>
      </c>
      <c r="Y14" s="4">
        <v>0</v>
      </c>
      <c r="Z14" s="3"/>
      <c r="AA14" s="4">
        <v>0</v>
      </c>
      <c r="AB14" s="4">
        <v>0</v>
      </c>
      <c r="AC14" s="3"/>
      <c r="AD14" s="4">
        <v>0</v>
      </c>
      <c r="AE14" s="4">
        <v>0</v>
      </c>
      <c r="AF14" s="3"/>
      <c r="AG14" s="4">
        <v>0</v>
      </c>
      <c r="AH14" s="4">
        <v>0</v>
      </c>
      <c r="AI14" s="3"/>
      <c r="AJ14" s="4">
        <v>0</v>
      </c>
      <c r="AK14" s="4">
        <v>0</v>
      </c>
      <c r="AL14" s="3"/>
      <c r="AM14" s="4">
        <v>0</v>
      </c>
      <c r="AN14" s="4">
        <v>0</v>
      </c>
      <c r="AO14" s="3"/>
      <c r="AP14" s="4">
        <v>0</v>
      </c>
      <c r="AQ14" s="4">
        <v>0</v>
      </c>
      <c r="AR14" s="3"/>
      <c r="AS14" s="4">
        <v>0</v>
      </c>
      <c r="AT14" s="4">
        <v>0</v>
      </c>
      <c r="AU14" s="3"/>
      <c r="AV14" s="4">
        <v>0</v>
      </c>
      <c r="AW14" s="4">
        <v>0</v>
      </c>
      <c r="AX14" s="3"/>
      <c r="AY14" s="4">
        <v>0</v>
      </c>
      <c r="AZ14" s="4">
        <v>0</v>
      </c>
      <c r="BA14" s="3"/>
      <c r="BB14" s="4">
        <v>0</v>
      </c>
      <c r="BC14" s="4">
        <v>0</v>
      </c>
      <c r="BD14" s="3"/>
      <c r="BE14" s="4">
        <v>0</v>
      </c>
      <c r="BF14" s="4">
        <v>0</v>
      </c>
      <c r="BG14" s="3"/>
      <c r="BH14" s="4">
        <v>0</v>
      </c>
      <c r="BI14" s="4">
        <v>0</v>
      </c>
      <c r="BJ14" s="3"/>
      <c r="BK14" s="4">
        <v>0</v>
      </c>
      <c r="BL14" s="4">
        <v>0</v>
      </c>
      <c r="BM14" s="3"/>
      <c r="BN14" s="4">
        <v>0</v>
      </c>
      <c r="BO14" s="4">
        <v>0</v>
      </c>
      <c r="BP14" s="3"/>
      <c r="BQ14" s="4">
        <v>0</v>
      </c>
      <c r="BR14" s="4">
        <v>0</v>
      </c>
      <c r="BS14" s="3"/>
      <c r="BT14" s="4">
        <v>0</v>
      </c>
      <c r="BU14" s="4">
        <v>0</v>
      </c>
      <c r="BV14" s="3"/>
      <c r="BW14" s="4">
        <v>0</v>
      </c>
      <c r="BX14" s="4">
        <v>0</v>
      </c>
      <c r="BY14" s="3"/>
      <c r="BZ14" s="4">
        <v>0</v>
      </c>
      <c r="CA14" s="4">
        <v>0</v>
      </c>
      <c r="CB14" s="3"/>
      <c r="CC14" s="4">
        <v>0</v>
      </c>
      <c r="CD14" s="4">
        <v>0</v>
      </c>
      <c r="CE14" s="3"/>
      <c r="CF14" s="4">
        <v>0</v>
      </c>
      <c r="CG14" s="4">
        <v>0</v>
      </c>
    </row>
    <row r="15" spans="1:85" x14ac:dyDescent="0.25">
      <c r="B15" s="1"/>
      <c r="E15" s="1"/>
      <c r="I15"/>
      <c r="J15"/>
      <c r="L15"/>
      <c r="N15" s="1"/>
      <c r="Q15" s="1"/>
    </row>
    <row r="16" spans="1:85" x14ac:dyDescent="0.25">
      <c r="B16" s="2" t="s">
        <v>28</v>
      </c>
      <c r="C16" s="2" t="s">
        <v>11</v>
      </c>
      <c r="D16" s="2" t="s">
        <v>13</v>
      </c>
      <c r="I16"/>
      <c r="J16"/>
      <c r="L16"/>
    </row>
    <row r="17" spans="1:4" x14ac:dyDescent="0.25">
      <c r="A17" s="16">
        <v>1</v>
      </c>
      <c r="B17" s="3" t="str">
        <f>Choix!A173</f>
        <v>Jean-Sébastien Angers</v>
      </c>
      <c r="C17" s="4">
        <f ca="1">P18G</f>
        <v>15</v>
      </c>
      <c r="D17" s="4">
        <f ca="1">P18P</f>
        <v>17</v>
      </c>
    </row>
    <row r="18" spans="1:4" x14ac:dyDescent="0.25">
      <c r="A18" s="16">
        <v>2</v>
      </c>
      <c r="B18" s="3" t="str">
        <f>Choix!A143</f>
        <v>Hugues Robert</v>
      </c>
      <c r="C18" s="4" cm="1">
        <f t="array" aca="1" ref="C18" ca="1">P15G</f>
        <v>13</v>
      </c>
      <c r="D18" s="4" cm="1">
        <f t="array" aca="1" ref="D18" ca="1">P15P</f>
        <v>16</v>
      </c>
    </row>
    <row r="19" spans="1:4" x14ac:dyDescent="0.25">
      <c r="A19" s="16">
        <v>3</v>
      </c>
      <c r="B19" s="3" t="str">
        <f>Choix!A153</f>
        <v>Isabelle Landry</v>
      </c>
      <c r="C19" s="4">
        <f ca="1">P16G</f>
        <v>13</v>
      </c>
      <c r="D19" s="4">
        <f ca="1">P16P</f>
        <v>16</v>
      </c>
    </row>
    <row r="20" spans="1:4" x14ac:dyDescent="0.25">
      <c r="A20" s="16">
        <v>4</v>
      </c>
      <c r="B20" s="3" t="str">
        <f>Choix!A223</f>
        <v>Michel Gagné</v>
      </c>
      <c r="C20" s="4">
        <f ca="1">P23G</f>
        <v>13</v>
      </c>
      <c r="D20" s="4">
        <f ca="1">P23P</f>
        <v>15</v>
      </c>
    </row>
    <row r="21" spans="1:4" x14ac:dyDescent="0.25">
      <c r="A21" s="16">
        <v>5</v>
      </c>
      <c r="B21" s="3" t="str">
        <f>Choix!A273</f>
        <v>Yves Tremblay</v>
      </c>
      <c r="C21" s="4">
        <f ca="1">P28G</f>
        <v>12</v>
      </c>
      <c r="D21" s="4">
        <f ca="1">P28P</f>
        <v>15</v>
      </c>
    </row>
    <row r="22" spans="1:4" x14ac:dyDescent="0.25">
      <c r="A22" s="16">
        <v>6</v>
      </c>
      <c r="B22" s="3" t="str">
        <f>Choix!A73</f>
        <v>Charles Doré</v>
      </c>
      <c r="C22" s="4">
        <f ca="1">P8G</f>
        <v>11</v>
      </c>
      <c r="D22" s="4">
        <f ca="1">P8P</f>
        <v>14</v>
      </c>
    </row>
    <row r="23" spans="1:4" x14ac:dyDescent="0.25">
      <c r="A23" s="16">
        <v>7</v>
      </c>
      <c r="B23" s="3" t="str">
        <f>Choix!A183</f>
        <v>Jonathan Blanchette</v>
      </c>
      <c r="C23" s="4">
        <f ca="1">P19G</f>
        <v>11</v>
      </c>
      <c r="D23" s="4">
        <f ca="1">P19P</f>
        <v>13</v>
      </c>
    </row>
    <row r="24" spans="1:4" x14ac:dyDescent="0.25">
      <c r="A24" s="16">
        <v>8</v>
      </c>
      <c r="B24" s="3" t="str">
        <f>Choix!A93</f>
        <v>Daniel Pellerin</v>
      </c>
      <c r="C24" s="4">
        <f ca="1">P10G</f>
        <v>10</v>
      </c>
      <c r="D24" s="4">
        <f ca="1">P10P</f>
        <v>13</v>
      </c>
    </row>
    <row r="25" spans="1:4" x14ac:dyDescent="0.25">
      <c r="A25" s="16">
        <v>9</v>
      </c>
      <c r="B25" s="3" t="str">
        <f>Choix!A253</f>
        <v>Stéphane Drapeau</v>
      </c>
      <c r="C25" s="4">
        <f ca="1">P26G</f>
        <v>10</v>
      </c>
      <c r="D25" s="4">
        <f ca="1">P26P</f>
        <v>13</v>
      </c>
    </row>
    <row r="26" spans="1:4" x14ac:dyDescent="0.25">
      <c r="A26" s="16">
        <v>10</v>
      </c>
      <c r="B26" s="3" t="str">
        <f>Choix!A213</f>
        <v>Mathieu Pagé</v>
      </c>
      <c r="C26" s="4">
        <f ca="1">P22G</f>
        <v>10</v>
      </c>
      <c r="D26" s="4">
        <f ca="1">P22P</f>
        <v>12</v>
      </c>
    </row>
    <row r="27" spans="1:4" x14ac:dyDescent="0.25">
      <c r="A27" s="16">
        <v>11</v>
      </c>
      <c r="B27" s="3" t="str">
        <f>Choix!A243</f>
        <v>Simon Manouk</v>
      </c>
      <c r="C27" s="4">
        <f ca="1">P25G</f>
        <v>10</v>
      </c>
      <c r="D27" s="4">
        <f ca="1">P25P</f>
        <v>12</v>
      </c>
    </row>
    <row r="28" spans="1:4" x14ac:dyDescent="0.25">
      <c r="A28" s="16">
        <v>12</v>
      </c>
      <c r="B28" s="3" t="str">
        <f>Choix!A3</f>
        <v>Alexandre Turcotte</v>
      </c>
      <c r="C28" s="4">
        <f ca="1">P1G</f>
        <v>9</v>
      </c>
      <c r="D28" s="4">
        <f ca="1">P1P</f>
        <v>11</v>
      </c>
    </row>
    <row r="29" spans="1:4" x14ac:dyDescent="0.25">
      <c r="A29" s="16">
        <v>13</v>
      </c>
      <c r="B29" s="3" t="str">
        <f>Choix!A233</f>
        <v>Sébastien Boudreau</v>
      </c>
      <c r="C29" s="4">
        <f ca="1">P24G</f>
        <v>9</v>
      </c>
      <c r="D29" s="4">
        <f ca="1">P24P</f>
        <v>11</v>
      </c>
    </row>
    <row r="30" spans="1:4" x14ac:dyDescent="0.25">
      <c r="A30" s="16">
        <v>14</v>
      </c>
      <c r="B30" s="3" t="str">
        <f>Choix!A43</f>
        <v>Caroline Carrier</v>
      </c>
      <c r="C30" s="4">
        <f ca="1">P5G</f>
        <v>8</v>
      </c>
      <c r="D30" s="4">
        <f ca="1">P5P</f>
        <v>11</v>
      </c>
    </row>
    <row r="31" spans="1:4" x14ac:dyDescent="0.25">
      <c r="A31" s="16">
        <v>15</v>
      </c>
      <c r="B31" s="3" t="str">
        <f>Choix!A53</f>
        <v>Catherine Delorme</v>
      </c>
      <c r="C31" s="4">
        <f ca="1">P6G</f>
        <v>8</v>
      </c>
      <c r="D31" s="4">
        <f ca="1">P6P</f>
        <v>11</v>
      </c>
    </row>
    <row r="32" spans="1:4" x14ac:dyDescent="0.25">
      <c r="A32" s="16">
        <v>16</v>
      </c>
      <c r="B32" s="3" t="str">
        <f>Choix!A193</f>
        <v>Marc Morin</v>
      </c>
      <c r="C32" s="4">
        <f ca="1">P20G</f>
        <v>8</v>
      </c>
      <c r="D32" s="4">
        <f ca="1">P20P</f>
        <v>11</v>
      </c>
    </row>
    <row r="33" spans="1:4" x14ac:dyDescent="0.25">
      <c r="A33" s="16">
        <v>17</v>
      </c>
      <c r="B33" s="3" t="str">
        <f>Choix!A23</f>
        <v>Annie La Bonté</v>
      </c>
      <c r="C33" s="4">
        <f ca="1">P3G</f>
        <v>8</v>
      </c>
      <c r="D33" s="4">
        <f ca="1">P3P</f>
        <v>10</v>
      </c>
    </row>
    <row r="34" spans="1:4" x14ac:dyDescent="0.25">
      <c r="A34" s="16">
        <v>18</v>
      </c>
      <c r="B34" s="3" t="str">
        <f>Choix!A133</f>
        <v>Gia Hoi Nguyen</v>
      </c>
      <c r="C34" s="4" cm="1">
        <f t="array" aca="1" ref="C34" ca="1">P14G</f>
        <v>8</v>
      </c>
      <c r="D34" s="4" cm="1">
        <f t="array" aca="1" ref="D34" ca="1">P14P</f>
        <v>10</v>
      </c>
    </row>
    <row r="35" spans="1:4" x14ac:dyDescent="0.25">
      <c r="A35" s="16">
        <v>19</v>
      </c>
      <c r="B35" s="3" t="str">
        <f>Choix!A33</f>
        <v>Benoit Paquet</v>
      </c>
      <c r="C35" s="4">
        <f ca="1">P4G</f>
        <v>7</v>
      </c>
      <c r="D35" s="4">
        <f ca="1">P4P</f>
        <v>10</v>
      </c>
    </row>
    <row r="36" spans="1:4" x14ac:dyDescent="0.25">
      <c r="A36" s="16">
        <v>20</v>
      </c>
      <c r="B36" s="3" t="str">
        <f>Choix!A103</f>
        <v>François Briand</v>
      </c>
      <c r="C36" s="4">
        <f ca="1">P11G</f>
        <v>7</v>
      </c>
      <c r="D36" s="4">
        <f ca="1">P11P</f>
        <v>10</v>
      </c>
    </row>
    <row r="37" spans="1:4" x14ac:dyDescent="0.25">
      <c r="A37" s="16">
        <v>21</v>
      </c>
      <c r="B37" s="3" t="str">
        <f>Choix!A163</f>
        <v>Jean-François Couture</v>
      </c>
      <c r="C37" s="4">
        <f ca="1">P17G</f>
        <v>7</v>
      </c>
      <c r="D37" s="4">
        <f ca="1">P17P</f>
        <v>9</v>
      </c>
    </row>
    <row r="38" spans="1:4" x14ac:dyDescent="0.25">
      <c r="A38" s="16">
        <v>22</v>
      </c>
      <c r="B38" s="3" t="str">
        <f>Choix!A263</f>
        <v>Vicky Rodrigue</v>
      </c>
      <c r="C38" s="4">
        <f ca="1">P27G</f>
        <v>7</v>
      </c>
      <c r="D38" s="4">
        <f ca="1">P27P</f>
        <v>9</v>
      </c>
    </row>
    <row r="39" spans="1:4" x14ac:dyDescent="0.25">
      <c r="A39" s="16">
        <v>23</v>
      </c>
      <c r="B39" s="3" t="str">
        <f>Choix!A63</f>
        <v>Cathy Demers</v>
      </c>
      <c r="C39" s="4">
        <f ca="1">P7G</f>
        <v>6</v>
      </c>
      <c r="D39" s="4">
        <f ca="1">P7P</f>
        <v>8</v>
      </c>
    </row>
    <row r="40" spans="1:4" x14ac:dyDescent="0.25">
      <c r="A40" s="16">
        <v>24</v>
      </c>
      <c r="B40" s="3" t="str">
        <f>Choix!A113</f>
        <v>Frédéric Lallemand</v>
      </c>
      <c r="C40" s="4">
        <f ca="1">P12G</f>
        <v>5</v>
      </c>
      <c r="D40" s="4">
        <f ca="1">P12P</f>
        <v>8</v>
      </c>
    </row>
    <row r="41" spans="1:4" x14ac:dyDescent="0.25">
      <c r="A41" s="16">
        <v>25</v>
      </c>
      <c r="B41" s="3" t="str">
        <f>Choix!A123</f>
        <v>Geneviève Leclerc</v>
      </c>
      <c r="C41" s="4">
        <f ca="1">P13G</f>
        <v>5</v>
      </c>
      <c r="D41" s="4">
        <f ca="1">P13P</f>
        <v>8</v>
      </c>
    </row>
    <row r="42" spans="1:4" x14ac:dyDescent="0.25">
      <c r="A42" s="16">
        <v>26</v>
      </c>
      <c r="B42" s="3" t="str">
        <f>Choix!A83</f>
        <v>Cyril Sylvain</v>
      </c>
      <c r="C42" s="4">
        <f ca="1">P9G</f>
        <v>5</v>
      </c>
      <c r="D42" s="4">
        <f ca="1">P9P</f>
        <v>7</v>
      </c>
    </row>
    <row r="43" spans="1:4" x14ac:dyDescent="0.25">
      <c r="A43" s="16">
        <v>27</v>
      </c>
      <c r="B43" s="3" t="str">
        <f>Choix!A13</f>
        <v>Annick Demers</v>
      </c>
      <c r="C43" s="4">
        <f ca="1">P2G</f>
        <v>4</v>
      </c>
      <c r="D43" s="4">
        <f ca="1">P2P</f>
        <v>6</v>
      </c>
    </row>
    <row r="44" spans="1:4" x14ac:dyDescent="0.25">
      <c r="A44" s="16">
        <v>28</v>
      </c>
      <c r="B44" s="3" t="str">
        <f>Choix!A203</f>
        <v>Marc Poirier</v>
      </c>
      <c r="C44" s="4">
        <f ca="1">P21G</f>
        <v>3</v>
      </c>
      <c r="D44" s="4">
        <f ca="1">P21P</f>
        <v>6</v>
      </c>
    </row>
  </sheetData>
  <sheetProtection sheet="1" objects="1" scenarios="1"/>
  <sortState xmlns:xlrd2="http://schemas.microsoft.com/office/spreadsheetml/2017/richdata2" ref="B17:D44">
    <sortCondition descending="1" ref="C17:C44"/>
    <sortCondition descending="1" ref="D17:D44"/>
    <sortCondition ref="B17:B44"/>
  </sortState>
  <mergeCells count="28">
    <mergeCell ref="BY4:BZ4"/>
    <mergeCell ref="CB4:CC4"/>
    <mergeCell ref="CE4:CF4"/>
    <mergeCell ref="BJ4:BK4"/>
    <mergeCell ref="BM4:BN4"/>
    <mergeCell ref="BP4:BQ4"/>
    <mergeCell ref="BS4:BT4"/>
    <mergeCell ref="BV4:BW4"/>
    <mergeCell ref="AU4:AV4"/>
    <mergeCell ref="AX4:AY4"/>
    <mergeCell ref="BA4:BB4"/>
    <mergeCell ref="BD4:BE4"/>
    <mergeCell ref="BG4:BH4"/>
    <mergeCell ref="AF4:AG4"/>
    <mergeCell ref="AI4:AJ4"/>
    <mergeCell ref="AL4:AM4"/>
    <mergeCell ref="AO4:AP4"/>
    <mergeCell ref="AR4:AS4"/>
    <mergeCell ref="T4:U4"/>
    <mergeCell ref="W4:X4"/>
    <mergeCell ref="Z4:AA4"/>
    <mergeCell ref="AC4:AD4"/>
    <mergeCell ref="Q4:R4"/>
    <mergeCell ref="B4:C4"/>
    <mergeCell ref="E4:F4"/>
    <mergeCell ref="H4:I4"/>
    <mergeCell ref="K4:L4"/>
    <mergeCell ref="N4:O4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pollRes">
                <anchor moveWithCells="1" sizeWithCells="1">
                  <from>
                    <xdr:col>2</xdr:col>
                    <xdr:colOff>47625</xdr:colOff>
                    <xdr:row>0</xdr:row>
                    <xdr:rowOff>19050</xdr:rowOff>
                  </from>
                  <to>
                    <xdr:col>3</xdr:col>
                    <xdr:colOff>142875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copierSommaire">
                <anchor moveWithCells="1" sizeWithCells="1">
                  <from>
                    <xdr:col>12</xdr:col>
                    <xdr:colOff>571500</xdr:colOff>
                    <xdr:row>0</xdr:row>
                    <xdr:rowOff>28575</xdr:rowOff>
                  </from>
                  <to>
                    <xdr:col>14</xdr:col>
                    <xdr:colOff>342900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copierGrille">
                <anchor moveWithCells="1" sizeWithCells="1">
                  <from>
                    <xdr:col>14</xdr:col>
                    <xdr:colOff>590550</xdr:colOff>
                    <xdr:row>0</xdr:row>
                    <xdr:rowOff>28575</xdr:rowOff>
                  </from>
                  <to>
                    <xdr:col>16</xdr:col>
                    <xdr:colOff>523875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copierChoix">
                <anchor moveWithCells="1" sizeWithCells="1">
                  <from>
                    <xdr:col>10</xdr:col>
                    <xdr:colOff>1009650</xdr:colOff>
                    <xdr:row>0</xdr:row>
                    <xdr:rowOff>28575</xdr:rowOff>
                  </from>
                  <to>
                    <xdr:col>12</xdr:col>
                    <xdr:colOff>466725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copierChoix1">
                <anchor moveWithCells="1" sizeWithCells="1">
                  <from>
                    <xdr:col>5</xdr:col>
                    <xdr:colOff>76200</xdr:colOff>
                    <xdr:row>0</xdr:row>
                    <xdr:rowOff>19050</xdr:rowOff>
                  </from>
                  <to>
                    <xdr:col>6</xdr:col>
                    <xdr:colOff>447675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copierChoix2">
                <anchor moveWithCells="1" sizeWithCells="1">
                  <from>
                    <xdr:col>6</xdr:col>
                    <xdr:colOff>590550</xdr:colOff>
                    <xdr:row>0</xdr:row>
                    <xdr:rowOff>19050</xdr:rowOff>
                  </from>
                  <to>
                    <xdr:col>7</xdr:col>
                    <xdr:colOff>971550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copierChoix3">
                <anchor moveWithCells="1" sizeWithCells="1">
                  <from>
                    <xdr:col>26</xdr:col>
                    <xdr:colOff>180975</xdr:colOff>
                    <xdr:row>0</xdr:row>
                    <xdr:rowOff>28575</xdr:rowOff>
                  </from>
                  <to>
                    <xdr:col>27</xdr:col>
                    <xdr:colOff>561975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copierChoix4">
                <anchor moveWithCells="1" sizeWithCells="1">
                  <from>
                    <xdr:col>46</xdr:col>
                    <xdr:colOff>638175</xdr:colOff>
                    <xdr:row>0</xdr:row>
                    <xdr:rowOff>28575</xdr:rowOff>
                  </from>
                  <to>
                    <xdr:col>48</xdr:col>
                    <xdr:colOff>38100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2" name="Button 13">
              <controlPr defaultSize="0" print="0" autoFill="0" autoPict="0" macro="[0]!copierSommaire">
                <anchor moveWithCells="1" sizeWithCells="1">
                  <from>
                    <xdr:col>69</xdr:col>
                    <xdr:colOff>19050</xdr:colOff>
                    <xdr:row>0</xdr:row>
                    <xdr:rowOff>28575</xdr:rowOff>
                  </from>
                  <to>
                    <xdr:col>70</xdr:col>
                    <xdr:colOff>933450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3" name="Button 15">
              <controlPr defaultSize="0" print="0" autoFill="0" autoPict="0" macro="[0]!copierGrille">
                <anchor moveWithCells="1" sizeWithCells="1">
                  <from>
                    <xdr:col>5</xdr:col>
                    <xdr:colOff>590550</xdr:colOff>
                    <xdr:row>19</xdr:row>
                    <xdr:rowOff>28575</xdr:rowOff>
                  </from>
                  <to>
                    <xdr:col>7</xdr:col>
                    <xdr:colOff>523875</xdr:colOff>
                    <xdr:row>20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0D2DB-AC37-4FB9-B3FA-D6546A51338E}">
  <sheetPr codeName="Feuil4"/>
  <dimension ref="D5:AG22"/>
  <sheetViews>
    <sheetView topLeftCell="C1" workbookViewId="0">
      <selection activeCell="D5" sqref="D5:Y19"/>
    </sheetView>
  </sheetViews>
  <sheetFormatPr baseColWidth="10" defaultRowHeight="15" x14ac:dyDescent="0.25"/>
  <cols>
    <col min="1" max="4" width="5.140625" customWidth="1"/>
    <col min="5" max="5" width="5.140625" style="7" customWidth="1"/>
    <col min="6" max="7" width="2.7109375" customWidth="1"/>
    <col min="8" max="9" width="5.140625" customWidth="1"/>
    <col min="10" max="11" width="2.7109375" customWidth="1"/>
    <col min="12" max="17" width="5.140625" customWidth="1"/>
    <col min="18" max="19" width="2.7109375" customWidth="1"/>
    <col min="20" max="21" width="5.140625" customWidth="1"/>
    <col min="22" max="23" width="2.7109375" customWidth="1"/>
    <col min="24" max="24" width="5.140625" customWidth="1"/>
    <col min="25" max="25" width="5.140625" style="7" customWidth="1"/>
    <col min="26" max="32" width="5.140625" customWidth="1"/>
  </cols>
  <sheetData>
    <row r="5" spans="4:33" x14ac:dyDescent="0.25">
      <c r="D5" s="47" t="s">
        <v>99</v>
      </c>
      <c r="E5" s="47"/>
      <c r="F5" s="39"/>
      <c r="G5" s="39"/>
      <c r="H5" s="49" t="s">
        <v>100</v>
      </c>
      <c r="I5" s="49"/>
      <c r="J5" s="39"/>
      <c r="K5" s="39"/>
      <c r="L5" s="49" t="s">
        <v>101</v>
      </c>
      <c r="M5" s="49"/>
      <c r="N5" s="50" t="s">
        <v>102</v>
      </c>
      <c r="O5" s="50"/>
      <c r="P5" s="45" t="s">
        <v>101</v>
      </c>
      <c r="Q5" s="45"/>
      <c r="R5" s="39"/>
      <c r="S5" s="39"/>
      <c r="T5" s="46" t="s">
        <v>100</v>
      </c>
      <c r="U5" s="46"/>
      <c r="V5" s="39"/>
      <c r="W5" s="39"/>
      <c r="X5" s="47" t="s">
        <v>99</v>
      </c>
      <c r="Y5" s="47"/>
    </row>
    <row r="6" spans="4:33" x14ac:dyDescent="0.25">
      <c r="D6" s="9" t="s">
        <v>5</v>
      </c>
      <c r="E6" s="4">
        <f>VLOOKUP(D6,result,2)</f>
        <v>4</v>
      </c>
      <c r="X6" s="9" t="s">
        <v>35</v>
      </c>
      <c r="Y6" s="4">
        <f>VLOOKUP(X6,result,2)</f>
        <v>4</v>
      </c>
      <c r="AG6" s="25"/>
    </row>
    <row r="7" spans="4:33" x14ac:dyDescent="0.25">
      <c r="D7" s="37" t="s">
        <v>29</v>
      </c>
      <c r="E7" s="38">
        <f>VLOOKUP(D7,result,2)</f>
        <v>0</v>
      </c>
      <c r="F7" s="10"/>
      <c r="W7" s="10"/>
      <c r="X7" s="37" t="s">
        <v>0</v>
      </c>
      <c r="Y7" s="38">
        <f>VLOOKUP(X7,result,2)</f>
        <v>2</v>
      </c>
      <c r="AG7" s="25"/>
    </row>
    <row r="8" spans="4:33" x14ac:dyDescent="0.25">
      <c r="G8" s="11"/>
      <c r="H8" s="9" t="s">
        <v>5</v>
      </c>
      <c r="I8" s="9"/>
      <c r="N8" s="9"/>
      <c r="O8" s="9"/>
      <c r="T8" s="9" t="s">
        <v>35</v>
      </c>
      <c r="U8" s="9"/>
      <c r="W8" s="12"/>
      <c r="AG8" s="25"/>
    </row>
    <row r="9" spans="4:33" x14ac:dyDescent="0.25">
      <c r="G9" s="10"/>
      <c r="H9" s="9" t="s">
        <v>6</v>
      </c>
      <c r="I9" s="9"/>
      <c r="J9" s="10"/>
      <c r="N9" s="9"/>
      <c r="O9" s="9"/>
      <c r="S9" s="10"/>
      <c r="T9" s="9"/>
      <c r="U9" s="9"/>
      <c r="V9" s="10"/>
      <c r="W9" s="12"/>
      <c r="AG9" s="25"/>
    </row>
    <row r="10" spans="4:33" x14ac:dyDescent="0.25">
      <c r="D10" s="37" t="s">
        <v>7</v>
      </c>
      <c r="E10" s="38">
        <f>VLOOKUP(D10,result,2)</f>
        <v>2</v>
      </c>
      <c r="F10" s="11"/>
      <c r="J10" s="5"/>
      <c r="N10" s="13"/>
      <c r="S10" s="12"/>
      <c r="W10" s="11"/>
      <c r="X10" s="9" t="s">
        <v>1</v>
      </c>
      <c r="Y10" s="4">
        <f>VLOOKUP(X10,result,2)</f>
        <v>3</v>
      </c>
      <c r="AG10" s="25"/>
    </row>
    <row r="11" spans="4:33" x14ac:dyDescent="0.25">
      <c r="D11" s="9" t="s">
        <v>6</v>
      </c>
      <c r="E11" s="4">
        <f>VLOOKUP(D11,result,2)</f>
        <v>4</v>
      </c>
      <c r="J11" s="5"/>
      <c r="N11" s="5"/>
      <c r="S11" s="12"/>
      <c r="X11" s="9" t="s">
        <v>31</v>
      </c>
      <c r="Y11" s="4">
        <f>VLOOKUP(X11,result,2)</f>
        <v>3</v>
      </c>
      <c r="AG11" s="25"/>
    </row>
    <row r="12" spans="4:33" x14ac:dyDescent="0.25">
      <c r="J12" s="5"/>
      <c r="L12" s="9"/>
      <c r="M12" s="9"/>
      <c r="N12" s="11"/>
      <c r="O12" s="14"/>
      <c r="P12" s="9"/>
      <c r="Q12" s="9"/>
      <c r="S12" s="12"/>
      <c r="AG12" s="25"/>
    </row>
    <row r="13" spans="4:33" x14ac:dyDescent="0.25">
      <c r="J13" s="5"/>
      <c r="K13" s="10"/>
      <c r="L13" s="9"/>
      <c r="M13" s="9"/>
      <c r="N13" s="22"/>
      <c r="O13" s="22"/>
      <c r="P13" s="9"/>
      <c r="Q13" s="9"/>
      <c r="R13" s="15"/>
      <c r="S13" s="12"/>
      <c r="AG13" s="25"/>
    </row>
    <row r="14" spans="4:33" x14ac:dyDescent="0.25">
      <c r="D14" s="9" t="s">
        <v>3</v>
      </c>
      <c r="E14" s="4">
        <f>VLOOKUP(D14,result,2)</f>
        <v>4</v>
      </c>
      <c r="J14" s="5"/>
      <c r="N14" s="48"/>
      <c r="O14" s="48"/>
      <c r="S14" s="12"/>
      <c r="X14" s="9" t="s">
        <v>2</v>
      </c>
      <c r="Y14" s="4">
        <f>VLOOKUP(X14,result,2)</f>
        <v>4</v>
      </c>
      <c r="AG14" s="27"/>
    </row>
    <row r="15" spans="4:33" x14ac:dyDescent="0.25">
      <c r="D15" s="37" t="s">
        <v>33</v>
      </c>
      <c r="E15" s="38">
        <f>VLOOKUP(D15,result,2)</f>
        <v>2</v>
      </c>
      <c r="F15" s="10"/>
      <c r="J15" s="5"/>
      <c r="N15" s="48"/>
      <c r="O15" s="48"/>
      <c r="S15" s="12"/>
      <c r="W15" s="10"/>
      <c r="X15" s="37" t="s">
        <v>30</v>
      </c>
      <c r="Y15" s="38">
        <f>VLOOKUP(X15,result,2)</f>
        <v>0</v>
      </c>
      <c r="AG15" s="27"/>
    </row>
    <row r="16" spans="4:33" x14ac:dyDescent="0.25">
      <c r="G16" s="11"/>
      <c r="H16" s="9" t="s">
        <v>3</v>
      </c>
      <c r="I16" s="9"/>
      <c r="J16" s="11"/>
      <c r="N16" s="48"/>
      <c r="O16" s="48"/>
      <c r="S16" s="11"/>
      <c r="T16" s="9" t="s">
        <v>2</v>
      </c>
      <c r="U16" s="9"/>
      <c r="W16" s="12"/>
      <c r="AG16" s="25"/>
    </row>
    <row r="17" spans="4:33" x14ac:dyDescent="0.25">
      <c r="G17" s="10"/>
      <c r="H17" s="9" t="s">
        <v>34</v>
      </c>
      <c r="I17" s="9"/>
      <c r="N17" s="48"/>
      <c r="O17" s="48"/>
      <c r="T17" s="9" t="s">
        <v>37</v>
      </c>
      <c r="U17" s="9"/>
      <c r="V17" s="10"/>
      <c r="W17" s="12"/>
      <c r="AG17" s="25"/>
    </row>
    <row r="18" spans="4:33" x14ac:dyDescent="0.25">
      <c r="D18" s="37" t="s">
        <v>4</v>
      </c>
      <c r="E18" s="38">
        <f>VLOOKUP(D18,result,2)</f>
        <v>2</v>
      </c>
      <c r="F18" s="11"/>
      <c r="N18" s="48"/>
      <c r="O18" s="48"/>
      <c r="W18" s="11"/>
      <c r="X18" s="37" t="s">
        <v>36</v>
      </c>
      <c r="Y18" s="38">
        <f>VLOOKUP(X18,result,2)</f>
        <v>2</v>
      </c>
      <c r="AG18" s="25"/>
    </row>
    <row r="19" spans="4:33" x14ac:dyDescent="0.25">
      <c r="D19" s="9" t="s">
        <v>34</v>
      </c>
      <c r="E19" s="4">
        <f>VLOOKUP(D19,result,2)</f>
        <v>4</v>
      </c>
      <c r="N19" s="48"/>
      <c r="O19" s="48"/>
      <c r="X19" s="9" t="s">
        <v>37</v>
      </c>
      <c r="Y19" s="4">
        <f>VLOOKUP(X19,result,2)</f>
        <v>4</v>
      </c>
      <c r="AG19" s="25"/>
    </row>
    <row r="20" spans="4:33" x14ac:dyDescent="0.25">
      <c r="AG20" s="25"/>
    </row>
    <row r="21" spans="4:33" x14ac:dyDescent="0.25">
      <c r="AG21" s="25"/>
    </row>
    <row r="22" spans="4:33" x14ac:dyDescent="0.25">
      <c r="AG22" s="25"/>
    </row>
  </sheetData>
  <mergeCells count="8">
    <mergeCell ref="P5:Q5"/>
    <mergeCell ref="T5:U5"/>
    <mergeCell ref="X5:Y5"/>
    <mergeCell ref="N14:O19"/>
    <mergeCell ref="D5:E5"/>
    <mergeCell ref="H5:I5"/>
    <mergeCell ref="L5:M5"/>
    <mergeCell ref="N5:O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opierImage">
                <anchor moveWithCells="1" sizeWithCells="1">
                  <from>
                    <xdr:col>12</xdr:col>
                    <xdr:colOff>114300</xdr:colOff>
                    <xdr:row>2</xdr:row>
                    <xdr:rowOff>66675</xdr:rowOff>
                  </from>
                  <to>
                    <xdr:col>15</xdr:col>
                    <xdr:colOff>257175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76</vt:i4>
      </vt:variant>
    </vt:vector>
  </HeadingPairs>
  <TitlesOfParts>
    <vt:vector size="80" baseType="lpstr">
      <vt:lpstr>Points</vt:lpstr>
      <vt:lpstr>Choix</vt:lpstr>
      <vt:lpstr>Sommaire</vt:lpstr>
      <vt:lpstr>Grille</vt:lpstr>
      <vt:lpstr>AAsomm</vt:lpstr>
      <vt:lpstr>Achoix</vt:lpstr>
      <vt:lpstr>Achoix1</vt:lpstr>
      <vt:lpstr>Achoix2</vt:lpstr>
      <vt:lpstr>Achoix3</vt:lpstr>
      <vt:lpstr>Achoix4</vt:lpstr>
      <vt:lpstr>Agrille</vt:lpstr>
      <vt:lpstr>Asomm</vt:lpstr>
      <vt:lpstr>nbrCell</vt:lpstr>
      <vt:lpstr>nbrPoolers</vt:lpstr>
      <vt:lpstr>P10G</vt:lpstr>
      <vt:lpstr>P10P</vt:lpstr>
      <vt:lpstr>P11G</vt:lpstr>
      <vt:lpstr>P11P</vt:lpstr>
      <vt:lpstr>P12G</vt:lpstr>
      <vt:lpstr>P12P</vt:lpstr>
      <vt:lpstr>P13G</vt:lpstr>
      <vt:lpstr>P13P</vt:lpstr>
      <vt:lpstr>P14G</vt:lpstr>
      <vt:lpstr>P14P</vt:lpstr>
      <vt:lpstr>P15G</vt:lpstr>
      <vt:lpstr>P15P</vt:lpstr>
      <vt:lpstr>P16G</vt:lpstr>
      <vt:lpstr>P16P</vt:lpstr>
      <vt:lpstr>P17G</vt:lpstr>
      <vt:lpstr>P17P</vt:lpstr>
      <vt:lpstr>P18G</vt:lpstr>
      <vt:lpstr>P18P</vt:lpstr>
      <vt:lpstr>P19G</vt:lpstr>
      <vt:lpstr>P19P</vt:lpstr>
      <vt:lpstr>P1G</vt:lpstr>
      <vt:lpstr>P1P</vt:lpstr>
      <vt:lpstr>P20G</vt:lpstr>
      <vt:lpstr>P20P</vt:lpstr>
      <vt:lpstr>P21G</vt:lpstr>
      <vt:lpstr>P21P</vt:lpstr>
      <vt:lpstr>P22G</vt:lpstr>
      <vt:lpstr>P22P</vt:lpstr>
      <vt:lpstr>P23G</vt:lpstr>
      <vt:lpstr>P23P</vt:lpstr>
      <vt:lpstr>P24G</vt:lpstr>
      <vt:lpstr>P24P</vt:lpstr>
      <vt:lpstr>P25G</vt:lpstr>
      <vt:lpstr>P25P</vt:lpstr>
      <vt:lpstr>P26G</vt:lpstr>
      <vt:lpstr>P26P</vt:lpstr>
      <vt:lpstr>P27G</vt:lpstr>
      <vt:lpstr>P27P</vt:lpstr>
      <vt:lpstr>P28G</vt:lpstr>
      <vt:lpstr>P28P</vt:lpstr>
      <vt:lpstr>P2G</vt:lpstr>
      <vt:lpstr>P2P</vt:lpstr>
      <vt:lpstr>P3G</vt:lpstr>
      <vt:lpstr>P3P</vt:lpstr>
      <vt:lpstr>P4G</vt:lpstr>
      <vt:lpstr>P4P</vt:lpstr>
      <vt:lpstr>P5G</vt:lpstr>
      <vt:lpstr>P5P</vt:lpstr>
      <vt:lpstr>P6G</vt:lpstr>
      <vt:lpstr>P6P</vt:lpstr>
      <vt:lpstr>P7G</vt:lpstr>
      <vt:lpstr>P7P</vt:lpstr>
      <vt:lpstr>P8G</vt:lpstr>
      <vt:lpstr>P8P</vt:lpstr>
      <vt:lpstr>P9G</vt:lpstr>
      <vt:lpstr>P9P</vt:lpstr>
      <vt:lpstr>pointsPoints</vt:lpstr>
      <vt:lpstr>pointsSerie</vt:lpstr>
      <vt:lpstr>res_code</vt:lpstr>
      <vt:lpstr>resTot</vt:lpstr>
      <vt:lpstr>result</vt:lpstr>
      <vt:lpstr>ronde</vt:lpstr>
      <vt:lpstr>Scour</vt:lpstr>
      <vt:lpstr>Sgagn</vt:lpstr>
      <vt:lpstr>somm</vt:lpstr>
      <vt:lpstr>Sperd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cdore</dc:creator>
  <cp:lastModifiedBy>Charles Dore</cp:lastModifiedBy>
  <dcterms:created xsi:type="dcterms:W3CDTF">2015-06-05T18:19:34Z</dcterms:created>
  <dcterms:modified xsi:type="dcterms:W3CDTF">2026-05-02T17:24:22Z</dcterms:modified>
</cp:coreProperties>
</file>