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Pool\"/>
    </mc:Choice>
  </mc:AlternateContent>
  <xr:revisionPtr revIDLastSave="0" documentId="13_ncr:1_{FA13FA65-D58F-42E7-BAFF-48A8FBBB1768}" xr6:coauthVersionLast="47" xr6:coauthVersionMax="47" xr10:uidLastSave="{00000000-0000-0000-0000-000000000000}"/>
  <workbookProtection workbookAlgorithmName="SHA-512" workbookHashValue="bqHsCDemcdR0Ipadti6wncyzdAeINT/YGfjKBg7wSLavCTBzuDKZCJ+fnfcPrPKi8tCweqhctCdfJyhzdsuf1Q==" workbookSaltValue="QxR68p7FFYP+sCDdnSn9ow==" workbookSpinCount="100000" lockStructure="1"/>
  <bookViews>
    <workbookView xWindow="-120" yWindow="-120" windowWidth="29040" windowHeight="15720" activeTab="2" xr2:uid="{00000000-000D-0000-FFFF-FFFF00000000}"/>
  </bookViews>
  <sheets>
    <sheet name="Points" sheetId="3" r:id="rId1"/>
    <sheet name="Choix" sheetId="1" r:id="rId2"/>
    <sheet name="Sommaire" sheetId="2" r:id="rId3"/>
    <sheet name="Grille" sheetId="4" r:id="rId4"/>
  </sheets>
  <definedNames>
    <definedName name="AAsomm">Sommaire!$I$16:$K$21</definedName>
    <definedName name="Achoix">Sommaire!$A$2:$P$12</definedName>
    <definedName name="Agrille">Grille!$D$6:$Y$19</definedName>
    <definedName name="Asomm">Sommaire!$H$16:$K$22</definedName>
    <definedName name="nbrCell">Points!$E$2</definedName>
    <definedName name="nbrPoolers">Points!$C$1</definedName>
    <definedName name="P1G">Sommaire!$C$3</definedName>
    <definedName name="P1P">Sommaire!$D$3</definedName>
    <definedName name="P2G">Sommaire!$F$3</definedName>
    <definedName name="P2P">Sommaire!$G$3</definedName>
    <definedName name="P3G">Sommaire!$I$3</definedName>
    <definedName name="P3P">Sommaire!$J$3</definedName>
    <definedName name="P4G">Sommaire!$L$3</definedName>
    <definedName name="P4P">Sommaire!$M$3</definedName>
    <definedName name="P5G">Sommaire!$O$3</definedName>
    <definedName name="P5P">Sommaire!$P$3</definedName>
    <definedName name="P6G">Sommaire!$R$3</definedName>
    <definedName name="P6P">Sommaire!$S$3</definedName>
    <definedName name="pointsPoints">Points!$C$4</definedName>
    <definedName name="pointsSerie">Points!$C$3</definedName>
    <definedName name="res_code">Points!$K$20:$K$22</definedName>
    <definedName name="resTot">Points!$F$3:$K$18</definedName>
    <definedName name="result">Points!$F$3:$G$18</definedName>
    <definedName name="ronde">Points!$E$1</definedName>
    <definedName name="Scour">Points!$M$20</definedName>
    <definedName name="Sgagn">Points!$M$21</definedName>
    <definedName name="somm">Sommaire!$I$16:$K$22</definedName>
    <definedName name="Sperd">Points!$M$22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4" l="1"/>
  <c r="Q12" i="4"/>
  <c r="M13" i="4"/>
  <c r="M12" i="4"/>
  <c r="B5" i="2" l="1"/>
  <c r="U17" i="4" l="1"/>
  <c r="A5" i="2" l="1"/>
  <c r="C5" i="2"/>
  <c r="E5" i="2"/>
  <c r="F5" i="2"/>
  <c r="H5" i="2"/>
  <c r="I5" i="2"/>
  <c r="K5" i="2"/>
  <c r="L5" i="2"/>
  <c r="N5" i="2"/>
  <c r="O5" i="2"/>
  <c r="Q5" i="2"/>
  <c r="R5" i="2"/>
  <c r="B6" i="2"/>
  <c r="C6" i="2"/>
  <c r="E6" i="2"/>
  <c r="F6" i="2"/>
  <c r="H6" i="2"/>
  <c r="I6" i="2"/>
  <c r="K6" i="2"/>
  <c r="L6" i="2"/>
  <c r="N6" i="2"/>
  <c r="O6" i="2"/>
  <c r="Q6" i="2"/>
  <c r="R6" i="2"/>
  <c r="B7" i="2"/>
  <c r="C7" i="2"/>
  <c r="E7" i="2"/>
  <c r="F7" i="2"/>
  <c r="H7" i="2"/>
  <c r="I7" i="2"/>
  <c r="K7" i="2"/>
  <c r="L7" i="2"/>
  <c r="N7" i="2"/>
  <c r="O7" i="2"/>
  <c r="Q7" i="2"/>
  <c r="R7" i="2"/>
  <c r="B8" i="2"/>
  <c r="C8" i="2"/>
  <c r="E8" i="2"/>
  <c r="F8" i="2"/>
  <c r="H8" i="2"/>
  <c r="I8" i="2"/>
  <c r="K8" i="2"/>
  <c r="L8" i="2"/>
  <c r="N8" i="2"/>
  <c r="O8" i="2"/>
  <c r="Q8" i="2"/>
  <c r="R8" i="2"/>
  <c r="B9" i="2"/>
  <c r="C9" i="2"/>
  <c r="E9" i="2"/>
  <c r="F9" i="2"/>
  <c r="H9" i="2"/>
  <c r="I9" i="2"/>
  <c r="K9" i="2"/>
  <c r="L9" i="2"/>
  <c r="N9" i="2"/>
  <c r="O9" i="2"/>
  <c r="Q9" i="2"/>
  <c r="R9" i="2"/>
  <c r="B10" i="2"/>
  <c r="C10" i="2"/>
  <c r="E10" i="2"/>
  <c r="F10" i="2"/>
  <c r="H10" i="2"/>
  <c r="I10" i="2"/>
  <c r="K10" i="2"/>
  <c r="L10" i="2"/>
  <c r="N10" i="2"/>
  <c r="O10" i="2"/>
  <c r="Q10" i="2"/>
  <c r="R10" i="2"/>
  <c r="B11" i="2"/>
  <c r="C11" i="2"/>
  <c r="E11" i="2"/>
  <c r="F11" i="2"/>
  <c r="H11" i="2"/>
  <c r="I11" i="2"/>
  <c r="K11" i="2"/>
  <c r="L11" i="2"/>
  <c r="N11" i="2"/>
  <c r="O11" i="2"/>
  <c r="Q11" i="2"/>
  <c r="R11" i="2"/>
  <c r="R12" i="2"/>
  <c r="Q12" i="2"/>
  <c r="O12" i="2"/>
  <c r="N12" i="2"/>
  <c r="L12" i="2"/>
  <c r="K12" i="2"/>
  <c r="I12" i="2"/>
  <c r="H12" i="2"/>
  <c r="F12" i="2"/>
  <c r="E12" i="2"/>
  <c r="C12" i="2"/>
  <c r="B12" i="2"/>
  <c r="E71" i="1"/>
  <c r="C71" i="1"/>
  <c r="E70" i="1"/>
  <c r="C70" i="1"/>
  <c r="E69" i="1"/>
  <c r="C69" i="1"/>
  <c r="E68" i="1"/>
  <c r="C68" i="1"/>
  <c r="E67" i="1"/>
  <c r="C67" i="1"/>
  <c r="E66" i="1"/>
  <c r="C66" i="1"/>
  <c r="E65" i="1"/>
  <c r="C65" i="1"/>
  <c r="E64" i="1"/>
  <c r="C64" i="1"/>
  <c r="C4" i="1" l="1"/>
  <c r="C5" i="1"/>
  <c r="C6" i="1"/>
  <c r="C7" i="1"/>
  <c r="C8" i="1"/>
  <c r="C9" i="1"/>
  <c r="C10" i="1"/>
  <c r="C11" i="1"/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J18" i="3"/>
  <c r="D70" i="1" s="1"/>
  <c r="D65" i="1" l="1"/>
  <c r="G65" i="1" s="1"/>
  <c r="D71" i="1"/>
  <c r="F71" i="1" s="1"/>
  <c r="D67" i="1"/>
  <c r="G67" i="1" s="1"/>
  <c r="D69" i="1"/>
  <c r="F69" i="1" s="1"/>
  <c r="D68" i="1"/>
  <c r="G68" i="1" s="1"/>
  <c r="F65" i="1"/>
  <c r="G70" i="1"/>
  <c r="F70" i="1"/>
  <c r="E55" i="1"/>
  <c r="E56" i="1"/>
  <c r="E57" i="1"/>
  <c r="E58" i="1"/>
  <c r="E59" i="1"/>
  <c r="E60" i="1"/>
  <c r="E61" i="1"/>
  <c r="E54" i="1"/>
  <c r="E45" i="1"/>
  <c r="E46" i="1"/>
  <c r="E47" i="1"/>
  <c r="E48" i="1"/>
  <c r="E49" i="1"/>
  <c r="E50" i="1"/>
  <c r="E51" i="1"/>
  <c r="E44" i="1"/>
  <c r="E35" i="1"/>
  <c r="E36" i="1"/>
  <c r="E37" i="1"/>
  <c r="E38" i="1"/>
  <c r="E39" i="1"/>
  <c r="E40" i="1"/>
  <c r="E41" i="1"/>
  <c r="E34" i="1"/>
  <c r="E5" i="1"/>
  <c r="E6" i="1"/>
  <c r="E7" i="1"/>
  <c r="E8" i="1"/>
  <c r="E9" i="1"/>
  <c r="E10" i="1"/>
  <c r="E11" i="1"/>
  <c r="E4" i="1"/>
  <c r="E15" i="1"/>
  <c r="E16" i="1"/>
  <c r="E17" i="1"/>
  <c r="E18" i="1"/>
  <c r="E19" i="1"/>
  <c r="E20" i="1"/>
  <c r="E21" i="1"/>
  <c r="E14" i="1"/>
  <c r="E25" i="1"/>
  <c r="E26" i="1"/>
  <c r="E27" i="1"/>
  <c r="E28" i="1"/>
  <c r="E29" i="1"/>
  <c r="E30" i="1"/>
  <c r="E31" i="1"/>
  <c r="E24" i="1"/>
  <c r="E2" i="3"/>
  <c r="G71" i="1" l="1"/>
  <c r="F68" i="1"/>
  <c r="F67" i="1"/>
  <c r="G69" i="1"/>
  <c r="I3" i="3"/>
  <c r="J3" i="3" s="1"/>
  <c r="D64" i="1" l="1"/>
  <c r="F64" i="1" s="1"/>
  <c r="F63" i="1" s="1"/>
  <c r="D66" i="1"/>
  <c r="D11" i="1"/>
  <c r="D9" i="1"/>
  <c r="D8" i="1"/>
  <c r="D10" i="1"/>
  <c r="L3" i="3"/>
  <c r="C14" i="1"/>
  <c r="C15" i="1"/>
  <c r="C16" i="1"/>
  <c r="C17" i="1"/>
  <c r="C18" i="1"/>
  <c r="C19" i="1"/>
  <c r="C20" i="1"/>
  <c r="C21" i="1"/>
  <c r="C24" i="1"/>
  <c r="C25" i="1"/>
  <c r="C26" i="1"/>
  <c r="C27" i="1"/>
  <c r="C28" i="1"/>
  <c r="C29" i="1"/>
  <c r="C30" i="1"/>
  <c r="C31" i="1"/>
  <c r="C34" i="1"/>
  <c r="C35" i="1"/>
  <c r="C36" i="1"/>
  <c r="C37" i="1"/>
  <c r="C38" i="1"/>
  <c r="C39" i="1"/>
  <c r="C40" i="1"/>
  <c r="C41" i="1"/>
  <c r="C44" i="1"/>
  <c r="C45" i="1"/>
  <c r="C46" i="1"/>
  <c r="C47" i="1"/>
  <c r="C48" i="1"/>
  <c r="C49" i="1"/>
  <c r="C50" i="1"/>
  <c r="C51" i="1"/>
  <c r="C54" i="1"/>
  <c r="C55" i="1"/>
  <c r="C56" i="1"/>
  <c r="C57" i="1"/>
  <c r="C58" i="1"/>
  <c r="C59" i="1"/>
  <c r="C60" i="1"/>
  <c r="C61" i="1"/>
  <c r="D14" i="1"/>
  <c r="D6" i="1"/>
  <c r="D20" i="1"/>
  <c r="D21" i="1"/>
  <c r="D46" i="1"/>
  <c r="D5" i="1"/>
  <c r="D15" i="1"/>
  <c r="F66" i="1" l="1"/>
  <c r="G66" i="1"/>
  <c r="G64" i="1"/>
  <c r="G63" i="1" s="1"/>
  <c r="G14" i="1"/>
  <c r="G5" i="2" s="1"/>
  <c r="F14" i="1"/>
  <c r="F20" i="1"/>
  <c r="G20" i="1"/>
  <c r="G11" i="2" s="1"/>
  <c r="F46" i="1"/>
  <c r="G46" i="1"/>
  <c r="P7" i="2" s="1"/>
  <c r="F6" i="1"/>
  <c r="G6" i="1"/>
  <c r="D7" i="2" s="1"/>
  <c r="F10" i="1"/>
  <c r="G10" i="1"/>
  <c r="D11" i="2" s="1"/>
  <c r="F15" i="1"/>
  <c r="G15" i="1"/>
  <c r="G6" i="2" s="1"/>
  <c r="F5" i="1"/>
  <c r="G5" i="1"/>
  <c r="D6" i="2" s="1"/>
  <c r="F8" i="1"/>
  <c r="G8" i="1"/>
  <c r="D9" i="2" s="1"/>
  <c r="G9" i="1"/>
  <c r="D10" i="2" s="1"/>
  <c r="F9" i="1"/>
  <c r="F21" i="1"/>
  <c r="G21" i="1"/>
  <c r="G12" i="2" s="1"/>
  <c r="F11" i="1"/>
  <c r="G11" i="1"/>
  <c r="D12" i="2" s="1"/>
  <c r="D56" i="1"/>
  <c r="D37" i="1"/>
  <c r="D7" i="1"/>
  <c r="D36" i="1"/>
  <c r="D18" i="1"/>
  <c r="D31" i="1"/>
  <c r="D61" i="1"/>
  <c r="D48" i="1"/>
  <c r="D58" i="1"/>
  <c r="D28" i="1"/>
  <c r="D38" i="1"/>
  <c r="D17" i="1"/>
  <c r="D27" i="1"/>
  <c r="D59" i="1"/>
  <c r="D49" i="1"/>
  <c r="D39" i="1"/>
  <c r="D29" i="1"/>
  <c r="D19" i="1"/>
  <c r="D26" i="1"/>
  <c r="D16" i="1"/>
  <c r="D4" i="1"/>
  <c r="D51" i="1"/>
  <c r="D41" i="1"/>
  <c r="D55" i="1"/>
  <c r="D45" i="1"/>
  <c r="D35" i="1"/>
  <c r="D25" i="1"/>
  <c r="D60" i="1"/>
  <c r="D50" i="1"/>
  <c r="D40" i="1"/>
  <c r="D30" i="1"/>
  <c r="D57" i="1"/>
  <c r="D47" i="1"/>
  <c r="D54" i="1"/>
  <c r="D44" i="1"/>
  <c r="D34" i="1"/>
  <c r="D24" i="1"/>
  <c r="F60" i="1" l="1"/>
  <c r="G60" i="1"/>
  <c r="S11" i="2" s="1"/>
  <c r="F47" i="1"/>
  <c r="G47" i="1"/>
  <c r="P8" i="2" s="1"/>
  <c r="F29" i="1"/>
  <c r="G29" i="1"/>
  <c r="J10" i="2" s="1"/>
  <c r="G30" i="1"/>
  <c r="J11" i="2" s="1"/>
  <c r="F30" i="1"/>
  <c r="F41" i="1"/>
  <c r="G41" i="1"/>
  <c r="M12" i="2" s="1"/>
  <c r="F49" i="1"/>
  <c r="G49" i="1"/>
  <c r="P10" i="2" s="1"/>
  <c r="F61" i="1"/>
  <c r="G61" i="1"/>
  <c r="S12" i="2" s="1"/>
  <c r="G24" i="1"/>
  <c r="J5" i="2" s="1"/>
  <c r="F24" i="1"/>
  <c r="F40" i="1"/>
  <c r="G40" i="1"/>
  <c r="M11" i="2" s="1"/>
  <c r="G51" i="1"/>
  <c r="P12" i="2" s="1"/>
  <c r="F51" i="1"/>
  <c r="F59" i="1"/>
  <c r="G59" i="1"/>
  <c r="S10" i="2" s="1"/>
  <c r="G31" i="1"/>
  <c r="J12" i="2" s="1"/>
  <c r="F31" i="1"/>
  <c r="F4" i="1"/>
  <c r="G4" i="1"/>
  <c r="D5" i="2" s="1"/>
  <c r="F36" i="1"/>
  <c r="G36" i="1"/>
  <c r="M7" i="2" s="1"/>
  <c r="F25" i="1"/>
  <c r="G25" i="1"/>
  <c r="J6" i="2" s="1"/>
  <c r="F26" i="1"/>
  <c r="G26" i="1"/>
  <c r="J7" i="2" s="1"/>
  <c r="G38" i="1"/>
  <c r="M9" i="2" s="1"/>
  <c r="F38" i="1"/>
  <c r="G7" i="1"/>
  <c r="D8" i="2" s="1"/>
  <c r="F7" i="1"/>
  <c r="F27" i="1"/>
  <c r="G27" i="1"/>
  <c r="J8" i="2" s="1"/>
  <c r="F16" i="1"/>
  <c r="G16" i="1"/>
  <c r="G7" i="2" s="1"/>
  <c r="G44" i="1"/>
  <c r="P5" i="2" s="1"/>
  <c r="F44" i="1"/>
  <c r="F54" i="1"/>
  <c r="G54" i="1"/>
  <c r="S5" i="2" s="1"/>
  <c r="G35" i="1"/>
  <c r="M6" i="2" s="1"/>
  <c r="F35" i="1"/>
  <c r="F19" i="1"/>
  <c r="G19" i="1"/>
  <c r="G10" i="2" s="1"/>
  <c r="F28" i="1"/>
  <c r="G28" i="1"/>
  <c r="J9" i="2" s="1"/>
  <c r="F37" i="1"/>
  <c r="G37" i="1"/>
  <c r="M8" i="2" s="1"/>
  <c r="G50" i="1"/>
  <c r="P11" i="2" s="1"/>
  <c r="F50" i="1"/>
  <c r="G56" i="1"/>
  <c r="S7" i="2" s="1"/>
  <c r="F56" i="1"/>
  <c r="G18" i="1"/>
  <c r="G9" i="2" s="1"/>
  <c r="F18" i="1"/>
  <c r="F34" i="1"/>
  <c r="G34" i="1"/>
  <c r="M5" i="2" s="1"/>
  <c r="F17" i="1"/>
  <c r="G17" i="1"/>
  <c r="G8" i="2" s="1"/>
  <c r="F45" i="1"/>
  <c r="G45" i="1"/>
  <c r="P6" i="2" s="1"/>
  <c r="G58" i="1"/>
  <c r="S9" i="2" s="1"/>
  <c r="F58" i="1"/>
  <c r="F57" i="1"/>
  <c r="G57" i="1"/>
  <c r="S8" i="2" s="1"/>
  <c r="F55" i="1"/>
  <c r="G55" i="1"/>
  <c r="S6" i="2" s="1"/>
  <c r="F39" i="1"/>
  <c r="G39" i="1"/>
  <c r="M10" i="2" s="1"/>
  <c r="F48" i="1"/>
  <c r="G48" i="1"/>
  <c r="P9" i="2" s="1"/>
  <c r="F3" i="1" l="1"/>
  <c r="F43" i="1"/>
  <c r="F53" i="1"/>
  <c r="G43" i="1"/>
  <c r="F23" i="1"/>
  <c r="F13" i="1"/>
  <c r="G3" i="1"/>
  <c r="F33" i="1"/>
  <c r="L3" i="2" s="1"/>
  <c r="M3" i="2" s="1"/>
  <c r="G53" i="1"/>
  <c r="G33" i="1"/>
  <c r="G23" i="1"/>
  <c r="G13" i="1"/>
  <c r="F3" i="2" l="1"/>
  <c r="G3" i="2" s="1"/>
  <c r="I3" i="2"/>
  <c r="J3" i="2" s="1"/>
  <c r="K22" i="2" s="1"/>
  <c r="R3" i="2"/>
  <c r="S3" i="2" s="1"/>
  <c r="K18" i="2" s="1"/>
  <c r="O3" i="2"/>
  <c r="P3" i="2" s="1"/>
  <c r="K17" i="2" s="1"/>
  <c r="C3" i="2"/>
  <c r="D3" i="2" s="1"/>
  <c r="K20" i="2" s="1"/>
  <c r="K19" i="2"/>
  <c r="J19" i="2"/>
  <c r="J22" i="2" l="1"/>
  <c r="J17" i="2"/>
  <c r="J18" i="2"/>
  <c r="J20" i="2"/>
  <c r="J21" i="2"/>
  <c r="K21" i="2"/>
</calcChain>
</file>

<file path=xl/sharedStrings.xml><?xml version="1.0" encoding="utf-8"?>
<sst xmlns="http://schemas.openxmlformats.org/spreadsheetml/2006/main" count="370" uniqueCount="56">
  <si>
    <t>CHARLES</t>
  </si>
  <si>
    <t>CHEVAL</t>
  </si>
  <si>
    <t>DENIS</t>
  </si>
  <si>
    <t>ROBERT</t>
  </si>
  <si>
    <t>FRANK</t>
  </si>
  <si>
    <t>BOS</t>
  </si>
  <si>
    <t>TBL</t>
  </si>
  <si>
    <t>CAR</t>
  </si>
  <si>
    <t>VGK</t>
  </si>
  <si>
    <t>EDM</t>
  </si>
  <si>
    <t>COL</t>
  </si>
  <si>
    <t>MIN</t>
  </si>
  <si>
    <t>DAL</t>
  </si>
  <si>
    <t>Gagné</t>
  </si>
  <si>
    <t>Prévu</t>
  </si>
  <si>
    <t>Points</t>
  </si>
  <si>
    <t>Parties</t>
  </si>
  <si>
    <t>Possible</t>
  </si>
  <si>
    <t>Série
gagné</t>
  </si>
  <si>
    <t>Joué</t>
  </si>
  <si>
    <t>Pointage :</t>
  </si>
  <si>
    <t>Équipe</t>
  </si>
  <si>
    <t>Parties gagné</t>
  </si>
  <si>
    <t>=</t>
  </si>
  <si>
    <t>Série en cours</t>
  </si>
  <si>
    <t>Total série</t>
  </si>
  <si>
    <t>Résultat équipe</t>
  </si>
  <si>
    <t>Perdu</t>
  </si>
  <si>
    <t xml:space="preserve">Ronde : </t>
  </si>
  <si>
    <t>Ronde</t>
  </si>
  <si>
    <t>Acquis</t>
  </si>
  <si>
    <t xml:space="preserve">Facteur: </t>
  </si>
  <si>
    <t>Joueur</t>
  </si>
  <si>
    <t>LAK</t>
  </si>
  <si>
    <t>OTT</t>
  </si>
  <si>
    <t>MTL</t>
  </si>
  <si>
    <t>JULIEN</t>
  </si>
  <si>
    <t xml:space="preserve">Nombre de poolers : </t>
  </si>
  <si>
    <t>UTA</t>
  </si>
  <si>
    <t>ANA</t>
  </si>
  <si>
    <t>BUF</t>
  </si>
  <si>
    <t>PIT</t>
  </si>
  <si>
    <t>PHI</t>
  </si>
  <si>
    <t>Pointage</t>
  </si>
  <si>
    <t>Série:</t>
  </si>
  <si>
    <t>Points:</t>
  </si>
  <si>
    <t>Série gagné avec le nombre de parties</t>
  </si>
  <si>
    <t>Série gagné sans le nombre de parties</t>
  </si>
  <si>
    <t>Série perdue</t>
  </si>
  <si>
    <t>PrÃ©vision</t>
  </si>
  <si>
    <t xml:space="preserve">JULIEN </t>
  </si>
  <si>
    <t>WWW</t>
  </si>
  <si>
    <t>MONTRÉAL en 6</t>
  </si>
  <si>
    <t>CAROLINE en 4</t>
  </si>
  <si>
    <t>ANAHEIM en 6</t>
  </si>
  <si>
    <t>COLORADO en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</si>
</sst>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BC57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vertical="center"/>
    </xf>
    <xf numFmtId="0" fontId="0" fillId="0" borderId="1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9" xfId="0" applyBorder="1"/>
    <xf numFmtId="0" fontId="0" fillId="0" borderId="0" xfId="0" applyAlignment="1">
      <alignment horizontal="right" indent="1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10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/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C575"/>
      <color rgb="FFF6BC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3</xdr:col>
          <xdr:colOff>142875</xdr:colOff>
          <xdr:row>0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590550</xdr:colOff>
          <xdr:row>0</xdr:row>
          <xdr:rowOff>295275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 Choix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0</xdr:row>
          <xdr:rowOff>28575</xdr:rowOff>
        </xdr:from>
        <xdr:to>
          <xdr:col>11</xdr:col>
          <xdr:colOff>295275</xdr:colOff>
          <xdr:row>0</xdr:row>
          <xdr:rowOff>295275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 Sommaire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28575</xdr:rowOff>
        </xdr:from>
        <xdr:to>
          <xdr:col>13</xdr:col>
          <xdr:colOff>581025</xdr:colOff>
          <xdr:row>0</xdr:row>
          <xdr:rowOff>295275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 Grille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66675</xdr:rowOff>
        </xdr:from>
        <xdr:to>
          <xdr:col>15</xdr:col>
          <xdr:colOff>257175</xdr:colOff>
          <xdr:row>3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 Image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57150</xdr:colOff>
      <xdr:row>12</xdr:row>
      <xdr:rowOff>28575</xdr:rowOff>
    </xdr:from>
    <xdr:to>
      <xdr:col>14</xdr:col>
      <xdr:colOff>323850</xdr:colOff>
      <xdr:row>18</xdr:row>
      <xdr:rowOff>183944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314575"/>
          <a:ext cx="609600" cy="1298369"/>
        </a:xfrm>
        <a:prstGeom prst="rect">
          <a:avLst/>
        </a:prstGeom>
      </xdr:spPr>
    </xdr:pic>
    <xdr:clientData/>
  </xdr:twoCellAnchor>
  <xdr:oneCellAnchor>
    <xdr:from>
      <xdr:col>13</xdr:col>
      <xdr:colOff>57150</xdr:colOff>
      <xdr:row>30</xdr:row>
      <xdr:rowOff>28575</xdr:rowOff>
    </xdr:from>
    <xdr:ext cx="609600" cy="1298369"/>
    <xdr:pic>
      <xdr:nvPicPr>
        <xdr:cNvPr id="2" name="Image 1">
          <a:extLst>
            <a:ext uri="{FF2B5EF4-FFF2-40B4-BE49-F238E27FC236}">
              <a16:creationId xmlns:a16="http://schemas.microsoft.com/office/drawing/2014/main" id="{15655FD0-9ADD-4961-B563-8FDC9B05C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0" y="2314575"/>
          <a:ext cx="609600" cy="129836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85289-2FC2-4C9A-AB76-77F3D15C2608}">
  <sheetPr codeName="Feuil1"/>
  <dimension ref="A1:V29"/>
  <sheetViews>
    <sheetView zoomScaleNormal="100" workbookViewId="0">
      <selection activeCell="G6" sqref="G6"/>
    </sheetView>
  </sheetViews>
  <sheetFormatPr baseColWidth="10" defaultRowHeight="15" outlineLevelCol="1" x14ac:dyDescent="0.25"/>
  <cols>
    <col min="5" max="6" width="7" customWidth="1"/>
    <col min="7" max="7" width="7" style="7" customWidth="1"/>
    <col min="8" max="10" width="7" customWidth="1" outlineLevel="1"/>
    <col min="11" max="11" width="8.42578125" style="7" customWidth="1" outlineLevel="1"/>
    <col min="12" max="12" width="4.42578125" customWidth="1"/>
    <col min="13" max="16" width="7" customWidth="1"/>
    <col min="17" max="17" width="35" customWidth="1"/>
    <col min="18" max="18" width="7" customWidth="1"/>
    <col min="19" max="19" width="34.42578125" customWidth="1"/>
    <col min="20" max="20" width="7" customWidth="1"/>
    <col min="21" max="21" width="12.42578125" customWidth="1"/>
  </cols>
  <sheetData>
    <row r="1" spans="1:22" ht="17.25" customHeight="1" x14ac:dyDescent="0.25">
      <c r="A1" s="38" t="s">
        <v>37</v>
      </c>
      <c r="B1" s="38"/>
      <c r="C1" s="31">
        <v>6</v>
      </c>
      <c r="D1" s="18" t="s">
        <v>28</v>
      </c>
      <c r="E1" s="21">
        <v>3</v>
      </c>
    </row>
    <row r="2" spans="1:22" ht="33" customHeight="1" x14ac:dyDescent="0.25">
      <c r="B2" t="s">
        <v>43</v>
      </c>
      <c r="D2" s="19" t="s">
        <v>31</v>
      </c>
      <c r="E2" s="28">
        <f>(2^ronde)/2</f>
        <v>4</v>
      </c>
      <c r="F2" s="8" t="s">
        <v>21</v>
      </c>
      <c r="G2" s="17" t="s">
        <v>22</v>
      </c>
      <c r="H2" s="8" t="s">
        <v>21</v>
      </c>
      <c r="I2" s="17" t="s">
        <v>22</v>
      </c>
      <c r="J2" s="17" t="s">
        <v>25</v>
      </c>
      <c r="K2" s="17" t="s">
        <v>26</v>
      </c>
    </row>
    <row r="3" spans="1:22" ht="15" customHeight="1" x14ac:dyDescent="0.25">
      <c r="A3" s="1"/>
      <c r="B3" s="18" t="s">
        <v>44</v>
      </c>
      <c r="C3" s="1">
        <v>1</v>
      </c>
      <c r="F3" s="9" t="s">
        <v>7</v>
      </c>
      <c r="G3" s="21">
        <v>0</v>
      </c>
      <c r="H3" s="9" t="s">
        <v>35</v>
      </c>
      <c r="I3">
        <f t="shared" ref="I3:I17" si="0">VLOOKUP(H3,result,2)</f>
        <v>1</v>
      </c>
      <c r="J3">
        <f>G3+I3</f>
        <v>1</v>
      </c>
      <c r="K3" s="6">
        <v>0</v>
      </c>
      <c r="L3" t="str">
        <f t="shared" ref="L3:L18" si="1">IF(K3 = 0,Scour,    IF(K3 = 1, Sgagn,  IF(K3 = -1,Sperd,0)  )  )</f>
        <v>Série en cours</v>
      </c>
    </row>
    <row r="4" spans="1:22" ht="15" customHeight="1" x14ac:dyDescent="0.25">
      <c r="A4" s="1"/>
      <c r="B4" s="18" t="s">
        <v>45</v>
      </c>
      <c r="C4" s="1">
        <v>1</v>
      </c>
      <c r="F4" s="9" t="s">
        <v>10</v>
      </c>
      <c r="G4" s="21">
        <v>0</v>
      </c>
      <c r="H4" s="9" t="s">
        <v>8</v>
      </c>
      <c r="I4">
        <f t="shared" si="0"/>
        <v>1</v>
      </c>
      <c r="J4">
        <f t="shared" ref="J4:J18" si="2">G4+I4</f>
        <v>1</v>
      </c>
      <c r="K4" s="6">
        <v>0</v>
      </c>
      <c r="L4" t="str">
        <f t="shared" si="1"/>
        <v>Série en cours</v>
      </c>
      <c r="P4" s="36"/>
      <c r="Q4" t="s">
        <v>46</v>
      </c>
      <c r="R4" s="35"/>
      <c r="S4" t="s">
        <v>47</v>
      </c>
      <c r="T4" s="37"/>
      <c r="U4" t="s">
        <v>48</v>
      </c>
    </row>
    <row r="5" spans="1:22" ht="15" customHeight="1" x14ac:dyDescent="0.25">
      <c r="A5" s="1"/>
      <c r="C5" s="1"/>
      <c r="F5" s="9" t="s">
        <v>35</v>
      </c>
      <c r="G5" s="21">
        <v>1</v>
      </c>
      <c r="H5" s="9" t="s">
        <v>42</v>
      </c>
      <c r="I5">
        <f t="shared" si="0"/>
        <v>1</v>
      </c>
      <c r="J5">
        <f t="shared" si="2"/>
        <v>2</v>
      </c>
      <c r="K5" s="6">
        <v>0</v>
      </c>
      <c r="L5" t="str">
        <f t="shared" si="1"/>
        <v>Série en cours</v>
      </c>
    </row>
    <row r="6" spans="1:22" ht="15" customHeight="1" x14ac:dyDescent="0.25">
      <c r="A6" s="1"/>
      <c r="C6" s="1"/>
      <c r="F6" s="9" t="s">
        <v>8</v>
      </c>
      <c r="G6" s="21">
        <v>1</v>
      </c>
      <c r="H6" s="9" t="s">
        <v>7</v>
      </c>
      <c r="I6">
        <f t="shared" si="0"/>
        <v>0</v>
      </c>
      <c r="J6">
        <f t="shared" si="2"/>
        <v>1</v>
      </c>
      <c r="K6" s="6">
        <v>0</v>
      </c>
      <c r="L6" t="str">
        <f t="shared" si="1"/>
        <v>Série en cours</v>
      </c>
    </row>
    <row r="7" spans="1:22" ht="15" customHeight="1" x14ac:dyDescent="0.25">
      <c r="A7" s="1"/>
      <c r="C7" s="1"/>
      <c r="F7" s="32" t="s">
        <v>51</v>
      </c>
      <c r="G7" s="21">
        <v>0</v>
      </c>
      <c r="H7" s="32" t="s">
        <v>51</v>
      </c>
      <c r="I7">
        <f t="shared" si="0"/>
        <v>3</v>
      </c>
      <c r="J7">
        <f t="shared" si="2"/>
        <v>3</v>
      </c>
      <c r="K7" s="6">
        <v>0</v>
      </c>
      <c r="L7" t="str">
        <f t="shared" si="1"/>
        <v>Série en cours</v>
      </c>
      <c r="S7" s="33" t="s">
        <v>4</v>
      </c>
      <c r="T7" s="32" t="s">
        <v>35</v>
      </c>
      <c r="U7" s="34">
        <v>6</v>
      </c>
    </row>
    <row r="8" spans="1:22" ht="15" customHeight="1" x14ac:dyDescent="0.25">
      <c r="A8" s="1"/>
      <c r="C8" s="1"/>
      <c r="F8" s="32" t="s">
        <v>51</v>
      </c>
      <c r="G8" s="21">
        <v>0</v>
      </c>
      <c r="H8" s="32" t="s">
        <v>51</v>
      </c>
      <c r="I8">
        <f t="shared" si="0"/>
        <v>3</v>
      </c>
      <c r="J8">
        <f t="shared" si="2"/>
        <v>3</v>
      </c>
      <c r="K8" s="6">
        <v>0</v>
      </c>
      <c r="L8" t="str">
        <f t="shared" si="1"/>
        <v>Série en cours</v>
      </c>
      <c r="S8" s="32"/>
      <c r="T8" s="32" t="s">
        <v>7</v>
      </c>
      <c r="U8" s="32">
        <v>6</v>
      </c>
    </row>
    <row r="9" spans="1:22" ht="15" customHeight="1" x14ac:dyDescent="0.25">
      <c r="A9" s="1"/>
      <c r="C9" s="1"/>
      <c r="F9" s="32" t="s">
        <v>51</v>
      </c>
      <c r="G9" s="21">
        <v>0</v>
      </c>
      <c r="H9" s="32" t="s">
        <v>51</v>
      </c>
      <c r="I9">
        <f t="shared" si="0"/>
        <v>3</v>
      </c>
      <c r="J9">
        <f t="shared" si="2"/>
        <v>3</v>
      </c>
      <c r="K9" s="6">
        <v>0</v>
      </c>
      <c r="L9" t="str">
        <f t="shared" si="1"/>
        <v>Série en cours</v>
      </c>
      <c r="S9" s="32"/>
      <c r="T9" s="32" t="s">
        <v>11</v>
      </c>
      <c r="U9" s="34">
        <v>6</v>
      </c>
    </row>
    <row r="10" spans="1:22" ht="15" customHeight="1" x14ac:dyDescent="0.25">
      <c r="A10" s="1"/>
      <c r="C10" s="1"/>
      <c r="F10" s="32" t="s">
        <v>51</v>
      </c>
      <c r="G10" s="21">
        <v>0</v>
      </c>
      <c r="H10" s="32" t="s">
        <v>51</v>
      </c>
      <c r="I10">
        <f t="shared" si="0"/>
        <v>3</v>
      </c>
      <c r="J10">
        <f t="shared" si="2"/>
        <v>3</v>
      </c>
      <c r="K10" s="6">
        <v>0</v>
      </c>
      <c r="L10" t="str">
        <f t="shared" si="1"/>
        <v>Série en cours</v>
      </c>
      <c r="S10" s="32"/>
      <c r="T10" s="32" t="s">
        <v>39</v>
      </c>
      <c r="U10" s="32">
        <v>6</v>
      </c>
    </row>
    <row r="11" spans="1:22" ht="15" customHeight="1" x14ac:dyDescent="0.25">
      <c r="A11" s="1"/>
      <c r="C11" s="1"/>
      <c r="F11" s="32" t="s">
        <v>51</v>
      </c>
      <c r="G11" s="21">
        <v>0</v>
      </c>
      <c r="H11" s="32" t="s">
        <v>51</v>
      </c>
      <c r="I11">
        <f t="shared" si="0"/>
        <v>3</v>
      </c>
      <c r="J11">
        <f t="shared" si="2"/>
        <v>3</v>
      </c>
      <c r="K11" s="6">
        <v>0</v>
      </c>
      <c r="L11" t="str">
        <f t="shared" si="1"/>
        <v>Série en cours</v>
      </c>
      <c r="S11" s="33" t="s">
        <v>1</v>
      </c>
      <c r="T11" s="32" t="s">
        <v>35</v>
      </c>
      <c r="U11" s="34">
        <v>6</v>
      </c>
    </row>
    <row r="12" spans="1:22" ht="15" customHeight="1" x14ac:dyDescent="0.25">
      <c r="A12" s="1"/>
      <c r="C12" s="1"/>
      <c r="F12" s="32" t="s">
        <v>51</v>
      </c>
      <c r="G12" s="21">
        <v>0</v>
      </c>
      <c r="H12" s="32" t="s">
        <v>51</v>
      </c>
      <c r="I12">
        <f t="shared" si="0"/>
        <v>3</v>
      </c>
      <c r="J12">
        <f t="shared" si="2"/>
        <v>3</v>
      </c>
      <c r="K12" s="6">
        <v>0</v>
      </c>
      <c r="L12" t="str">
        <f t="shared" si="1"/>
        <v>Série en cours</v>
      </c>
      <c r="P12" s="32"/>
      <c r="Q12" s="33"/>
      <c r="R12" s="32"/>
      <c r="S12" s="32"/>
      <c r="T12" s="32" t="s">
        <v>7</v>
      </c>
      <c r="U12" s="32">
        <v>4</v>
      </c>
      <c r="V12" s="33"/>
    </row>
    <row r="13" spans="1:22" ht="15" customHeight="1" x14ac:dyDescent="0.25">
      <c r="A13" s="1"/>
      <c r="C13" s="1"/>
      <c r="F13" s="32" t="s">
        <v>51</v>
      </c>
      <c r="G13" s="21">
        <v>0</v>
      </c>
      <c r="H13" s="32" t="s">
        <v>51</v>
      </c>
      <c r="I13">
        <f t="shared" si="0"/>
        <v>3</v>
      </c>
      <c r="J13">
        <f t="shared" si="2"/>
        <v>3</v>
      </c>
      <c r="K13" s="6">
        <v>0</v>
      </c>
      <c r="L13" t="str">
        <f t="shared" si="1"/>
        <v>Série en cours</v>
      </c>
      <c r="P13" s="32"/>
      <c r="Q13" s="33"/>
      <c r="R13" s="32"/>
      <c r="S13" s="32"/>
      <c r="T13" s="32" t="s">
        <v>11</v>
      </c>
      <c r="U13" s="34">
        <v>7</v>
      </c>
      <c r="V13" s="34"/>
    </row>
    <row r="14" spans="1:22" ht="15" customHeight="1" x14ac:dyDescent="0.25">
      <c r="A14" s="1"/>
      <c r="C14" s="1"/>
      <c r="F14" s="32" t="s">
        <v>51</v>
      </c>
      <c r="G14" s="21">
        <v>0</v>
      </c>
      <c r="H14" s="32" t="s">
        <v>51</v>
      </c>
      <c r="I14">
        <f t="shared" si="0"/>
        <v>3</v>
      </c>
      <c r="J14">
        <f t="shared" si="2"/>
        <v>3</v>
      </c>
      <c r="K14" s="6">
        <v>0</v>
      </c>
      <c r="L14" t="str">
        <f t="shared" si="1"/>
        <v>Série en cours</v>
      </c>
      <c r="P14" s="32"/>
      <c r="Q14" s="33"/>
      <c r="R14" s="32"/>
      <c r="S14" s="32"/>
      <c r="T14" s="32" t="s">
        <v>8</v>
      </c>
      <c r="U14" s="32">
        <v>5</v>
      </c>
      <c r="V14" s="33"/>
    </row>
    <row r="15" spans="1:22" ht="15" customHeight="1" x14ac:dyDescent="0.25">
      <c r="A15" s="1"/>
      <c r="C15" s="1"/>
      <c r="F15" s="32" t="s">
        <v>51</v>
      </c>
      <c r="G15" s="21">
        <v>0</v>
      </c>
      <c r="H15" s="32" t="s">
        <v>51</v>
      </c>
      <c r="I15">
        <f t="shared" si="0"/>
        <v>3</v>
      </c>
      <c r="J15">
        <f t="shared" si="2"/>
        <v>3</v>
      </c>
      <c r="K15" s="6">
        <v>0</v>
      </c>
      <c r="L15" t="str">
        <f t="shared" si="1"/>
        <v>Série en cours</v>
      </c>
      <c r="P15" s="32"/>
      <c r="Q15" s="33"/>
      <c r="R15" s="32"/>
      <c r="S15" s="33" t="s">
        <v>50</v>
      </c>
      <c r="T15" s="32" t="s">
        <v>35</v>
      </c>
      <c r="U15" s="34">
        <v>6</v>
      </c>
      <c r="V15" s="34"/>
    </row>
    <row r="16" spans="1:22" ht="15" customHeight="1" x14ac:dyDescent="0.25">
      <c r="A16" s="1"/>
      <c r="C16" s="1"/>
      <c r="F16" s="32" t="s">
        <v>51</v>
      </c>
      <c r="G16" s="21">
        <v>0</v>
      </c>
      <c r="H16" s="32" t="s">
        <v>51</v>
      </c>
      <c r="I16">
        <f t="shared" si="0"/>
        <v>3</v>
      </c>
      <c r="J16">
        <f t="shared" si="2"/>
        <v>3</v>
      </c>
      <c r="K16" s="6">
        <v>0</v>
      </c>
      <c r="L16" t="str">
        <f t="shared" si="1"/>
        <v>Série en cours</v>
      </c>
      <c r="P16" s="32"/>
      <c r="Q16" s="33"/>
      <c r="R16" s="32"/>
      <c r="T16" s="9" t="s">
        <v>42</v>
      </c>
      <c r="U16" s="32">
        <v>7</v>
      </c>
      <c r="V16" s="33"/>
    </row>
    <row r="17" spans="1:22" ht="15" customHeight="1" x14ac:dyDescent="0.25">
      <c r="A17" s="1"/>
      <c r="C17" s="1"/>
      <c r="F17" s="32" t="s">
        <v>51</v>
      </c>
      <c r="G17" s="21">
        <v>0</v>
      </c>
      <c r="H17" s="32" t="s">
        <v>51</v>
      </c>
      <c r="I17">
        <f t="shared" si="0"/>
        <v>3</v>
      </c>
      <c r="J17">
        <f t="shared" si="2"/>
        <v>3</v>
      </c>
      <c r="K17" s="6">
        <v>0</v>
      </c>
      <c r="L17" t="str">
        <f t="shared" si="1"/>
        <v>Série en cours</v>
      </c>
      <c r="P17" s="32"/>
      <c r="Q17" s="33"/>
      <c r="R17" s="32"/>
      <c r="T17" s="32" t="s">
        <v>11</v>
      </c>
      <c r="U17" s="34">
        <v>7</v>
      </c>
      <c r="V17" s="34"/>
    </row>
    <row r="18" spans="1:22" x14ac:dyDescent="0.25">
      <c r="A18" s="1"/>
      <c r="C18" s="1"/>
      <c r="F18" s="32" t="s">
        <v>51</v>
      </c>
      <c r="G18" s="21">
        <v>3</v>
      </c>
      <c r="H18" s="32" t="s">
        <v>51</v>
      </c>
      <c r="I18">
        <v>4</v>
      </c>
      <c r="J18">
        <f t="shared" si="2"/>
        <v>7</v>
      </c>
      <c r="K18" s="6">
        <v>0</v>
      </c>
      <c r="L18" t="str">
        <f t="shared" si="1"/>
        <v>Série en cours</v>
      </c>
      <c r="P18" s="32"/>
      <c r="Q18" s="33"/>
      <c r="R18" s="32"/>
      <c r="T18" s="32" t="s">
        <v>8</v>
      </c>
      <c r="U18" s="32">
        <v>6</v>
      </c>
      <c r="V18" s="33"/>
    </row>
    <row r="19" spans="1:22" x14ac:dyDescent="0.25">
      <c r="P19" s="32"/>
      <c r="Q19" s="33"/>
      <c r="R19" s="32"/>
      <c r="S19" s="33" t="s">
        <v>0</v>
      </c>
      <c r="T19" s="9" t="s">
        <v>40</v>
      </c>
      <c r="U19" s="34">
        <v>7</v>
      </c>
      <c r="V19" s="34"/>
    </row>
    <row r="20" spans="1:22" x14ac:dyDescent="0.25">
      <c r="K20" s="6">
        <v>0</v>
      </c>
      <c r="L20" s="7" t="s">
        <v>23</v>
      </c>
      <c r="M20" t="s">
        <v>24</v>
      </c>
      <c r="P20" s="32"/>
      <c r="Q20" s="33"/>
      <c r="R20" s="32"/>
      <c r="T20" s="9" t="s">
        <v>7</v>
      </c>
      <c r="U20" s="32">
        <v>5</v>
      </c>
      <c r="V20" s="34"/>
    </row>
    <row r="21" spans="1:22" x14ac:dyDescent="0.25">
      <c r="K21" s="6">
        <v>1</v>
      </c>
      <c r="L21" s="7" t="s">
        <v>23</v>
      </c>
      <c r="M21" t="s">
        <v>13</v>
      </c>
      <c r="P21" s="32"/>
      <c r="Q21" s="33"/>
      <c r="R21" s="32"/>
      <c r="T21" s="9" t="s">
        <v>10</v>
      </c>
      <c r="U21" s="34">
        <v>6</v>
      </c>
      <c r="V21" s="34"/>
    </row>
    <row r="22" spans="1:22" x14ac:dyDescent="0.25">
      <c r="K22" s="6">
        <v>-1</v>
      </c>
      <c r="L22" s="7" t="s">
        <v>23</v>
      </c>
      <c r="M22" t="s">
        <v>27</v>
      </c>
      <c r="P22" s="32"/>
      <c r="Q22" s="33"/>
      <c r="R22" s="32"/>
      <c r="T22" s="9" t="s">
        <v>8</v>
      </c>
      <c r="U22" s="32">
        <v>6</v>
      </c>
      <c r="V22" s="33"/>
    </row>
    <row r="23" spans="1:22" x14ac:dyDescent="0.25">
      <c r="K23"/>
      <c r="P23" s="32"/>
      <c r="Q23" s="33"/>
      <c r="R23" s="32"/>
      <c r="S23" s="18" t="s">
        <v>3</v>
      </c>
      <c r="T23" s="32" t="s">
        <v>35</v>
      </c>
      <c r="U23" s="34">
        <v>6</v>
      </c>
      <c r="V23" s="34"/>
    </row>
    <row r="24" spans="1:22" x14ac:dyDescent="0.25">
      <c r="P24" s="32"/>
      <c r="Q24" s="33"/>
      <c r="R24" s="32"/>
      <c r="S24" t="s">
        <v>52</v>
      </c>
      <c r="T24" s="32" t="s">
        <v>7</v>
      </c>
      <c r="U24" s="32">
        <v>4</v>
      </c>
      <c r="V24" s="33"/>
    </row>
    <row r="25" spans="1:22" x14ac:dyDescent="0.25">
      <c r="P25" s="32"/>
      <c r="Q25" s="33"/>
      <c r="R25" s="32"/>
      <c r="S25" t="s">
        <v>53</v>
      </c>
      <c r="T25" s="9" t="s">
        <v>10</v>
      </c>
      <c r="U25" s="34">
        <v>6</v>
      </c>
      <c r="V25" s="34"/>
    </row>
    <row r="26" spans="1:22" x14ac:dyDescent="0.25">
      <c r="P26" s="32"/>
      <c r="Q26" s="33"/>
      <c r="R26" s="32"/>
      <c r="S26" t="s">
        <v>54</v>
      </c>
      <c r="T26" s="32" t="s">
        <v>39</v>
      </c>
      <c r="U26" s="32">
        <v>6</v>
      </c>
      <c r="V26" s="33"/>
    </row>
    <row r="27" spans="1:22" x14ac:dyDescent="0.25">
      <c r="P27" s="32"/>
      <c r="Q27" s="33"/>
      <c r="R27" s="32"/>
      <c r="S27" t="s">
        <v>55</v>
      </c>
      <c r="V27" s="34"/>
    </row>
    <row r="28" spans="1:22" x14ac:dyDescent="0.25">
      <c r="V28" s="33"/>
    </row>
    <row r="29" spans="1:22" x14ac:dyDescent="0.25">
      <c r="V29" s="34"/>
    </row>
  </sheetData>
  <sheetProtection sheet="1" objects="1" scenarios="1" selectLockedCells="1"/>
  <sortState xmlns:xlrd2="http://schemas.microsoft.com/office/spreadsheetml/2017/richdata2" ref="P12:Q27">
    <sortCondition ref="P12:P27"/>
  </sortState>
  <mergeCells count="1">
    <mergeCell ref="A1:B1"/>
  </mergeCells>
  <dataValidations count="2">
    <dataValidation type="list" allowBlank="1" showInputMessage="1" showErrorMessage="1" sqref="K3:K18" xr:uid="{B031AEF5-9107-472E-B9FF-B898390C611C}">
      <formula1>res_code</formula1>
    </dataValidation>
    <dataValidation type="whole" allowBlank="1" showInputMessage="1" showErrorMessage="1" sqref="G3:G18" xr:uid="{68DCAC14-785E-43B7-A596-4B6FAB2FD7C3}">
      <formula1>0</formula1>
      <formula2>4</formula2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L71"/>
  <sheetViews>
    <sheetView topLeftCell="A38" workbookViewId="0">
      <selection activeCell="C55" sqref="C55"/>
    </sheetView>
  </sheetViews>
  <sheetFormatPr baseColWidth="10" defaultColWidth="9.140625" defaultRowHeight="15" x14ac:dyDescent="0.25"/>
  <cols>
    <col min="5" max="5" width="10.85546875" customWidth="1"/>
  </cols>
  <sheetData>
    <row r="1" spans="1:12" x14ac:dyDescent="0.25">
      <c r="B1" s="39" t="s">
        <v>16</v>
      </c>
      <c r="C1" s="39"/>
      <c r="D1" s="39"/>
      <c r="E1" s="40" t="s">
        <v>18</v>
      </c>
      <c r="F1" s="39" t="s">
        <v>15</v>
      </c>
      <c r="G1" s="39"/>
    </row>
    <row r="2" spans="1:12" x14ac:dyDescent="0.25">
      <c r="B2" s="2" t="s">
        <v>14</v>
      </c>
      <c r="C2" s="2" t="s">
        <v>13</v>
      </c>
      <c r="D2" s="2" t="s">
        <v>19</v>
      </c>
      <c r="E2" s="39"/>
      <c r="F2" s="2" t="s">
        <v>13</v>
      </c>
      <c r="G2" s="2" t="s">
        <v>17</v>
      </c>
    </row>
    <row r="3" spans="1:12" x14ac:dyDescent="0.25">
      <c r="A3" s="1" t="s">
        <v>0</v>
      </c>
      <c r="F3">
        <f ca="1">SUM(OFFSET(F4,,,8/nbrCell))</f>
        <v>0</v>
      </c>
      <c r="G3">
        <f ca="1">SUM(OFFSET(G4,,,8/nbrCell))</f>
        <v>4</v>
      </c>
    </row>
    <row r="4" spans="1:12" x14ac:dyDescent="0.25">
      <c r="A4" s="9" t="s">
        <v>7</v>
      </c>
      <c r="B4" s="34">
        <v>6</v>
      </c>
      <c r="C4">
        <f t="shared" ref="C4:C11" si="0">VLOOKUP(A4,result,2)</f>
        <v>0</v>
      </c>
      <c r="D4">
        <f t="shared" ref="D4:D11" si="1">VLOOKUP(A4,resTot,5)</f>
        <v>1</v>
      </c>
      <c r="E4">
        <f t="shared" ref="E4:E11" si="2">IF(ISNA(VLOOKUP(A4,resTot,6)),0,VLOOKUP(A4,resTot,6))</f>
        <v>0</v>
      </c>
      <c r="F4">
        <f t="shared" ref="F4:F11" si="3">IF(E4&lt;0,0,    IF(AND(E4&gt;0,B4=D4 ),pointsSerie+pointsPoints,  IF(E4&gt;0,pointsSerie,0)  )  )</f>
        <v>0</v>
      </c>
      <c r="G4">
        <f t="shared" ref="G4:G11" si="4">IF(E4=0,   IF(B4-D4 &gt;= 4 -C4, pointsSerie+pointsPoints,    IF(7-D4 &gt;= 4 -C4, pointsSerie, 0)  ),    0  )</f>
        <v>2</v>
      </c>
    </row>
    <row r="5" spans="1:12" x14ac:dyDescent="0.25">
      <c r="A5" s="9" t="s">
        <v>10</v>
      </c>
      <c r="B5" s="32">
        <v>6</v>
      </c>
      <c r="C5">
        <f t="shared" si="0"/>
        <v>0</v>
      </c>
      <c r="D5">
        <f t="shared" si="1"/>
        <v>1</v>
      </c>
      <c r="E5">
        <f t="shared" si="2"/>
        <v>0</v>
      </c>
      <c r="F5">
        <f t="shared" si="3"/>
        <v>0</v>
      </c>
      <c r="G5">
        <f t="shared" si="4"/>
        <v>2</v>
      </c>
    </row>
    <row r="6" spans="1:12" x14ac:dyDescent="0.25">
      <c r="A6" s="4" t="s">
        <v>51</v>
      </c>
      <c r="B6" s="4"/>
      <c r="C6">
        <f t="shared" si="0"/>
        <v>3</v>
      </c>
      <c r="D6">
        <f t="shared" si="1"/>
        <v>7</v>
      </c>
      <c r="E6">
        <f t="shared" si="2"/>
        <v>0</v>
      </c>
      <c r="F6">
        <f t="shared" si="3"/>
        <v>0</v>
      </c>
      <c r="G6">
        <f t="shared" si="4"/>
        <v>0</v>
      </c>
    </row>
    <row r="7" spans="1:12" x14ac:dyDescent="0.25">
      <c r="A7" s="4" t="s">
        <v>51</v>
      </c>
      <c r="B7" s="4"/>
      <c r="C7">
        <f t="shared" si="0"/>
        <v>3</v>
      </c>
      <c r="D7">
        <f t="shared" si="1"/>
        <v>7</v>
      </c>
      <c r="E7">
        <f t="shared" si="2"/>
        <v>0</v>
      </c>
      <c r="F7">
        <f t="shared" si="3"/>
        <v>0</v>
      </c>
      <c r="G7">
        <f t="shared" si="4"/>
        <v>0</v>
      </c>
    </row>
    <row r="8" spans="1:12" x14ac:dyDescent="0.25">
      <c r="A8" s="4" t="s">
        <v>51</v>
      </c>
      <c r="B8" s="4"/>
      <c r="C8">
        <f t="shared" si="0"/>
        <v>3</v>
      </c>
      <c r="D8">
        <f t="shared" si="1"/>
        <v>7</v>
      </c>
      <c r="E8">
        <f t="shared" si="2"/>
        <v>0</v>
      </c>
      <c r="F8">
        <f t="shared" si="3"/>
        <v>0</v>
      </c>
      <c r="G8">
        <f t="shared" si="4"/>
        <v>0</v>
      </c>
    </row>
    <row r="9" spans="1:12" x14ac:dyDescent="0.25">
      <c r="A9" s="4" t="s">
        <v>51</v>
      </c>
      <c r="B9" s="4"/>
      <c r="C9">
        <f t="shared" si="0"/>
        <v>3</v>
      </c>
      <c r="D9">
        <f t="shared" si="1"/>
        <v>7</v>
      </c>
      <c r="E9">
        <f t="shared" si="2"/>
        <v>0</v>
      </c>
      <c r="F9">
        <f t="shared" si="3"/>
        <v>0</v>
      </c>
      <c r="G9">
        <f t="shared" si="4"/>
        <v>0</v>
      </c>
    </row>
    <row r="10" spans="1:12" x14ac:dyDescent="0.25">
      <c r="A10" s="4" t="s">
        <v>51</v>
      </c>
      <c r="B10" s="4"/>
      <c r="C10">
        <f t="shared" si="0"/>
        <v>3</v>
      </c>
      <c r="D10">
        <f t="shared" si="1"/>
        <v>7</v>
      </c>
      <c r="E10">
        <f t="shared" si="2"/>
        <v>0</v>
      </c>
      <c r="F10">
        <f t="shared" si="3"/>
        <v>0</v>
      </c>
      <c r="G10">
        <f t="shared" si="4"/>
        <v>0</v>
      </c>
    </row>
    <row r="11" spans="1:12" x14ac:dyDescent="0.25">
      <c r="A11" s="4" t="s">
        <v>51</v>
      </c>
      <c r="B11" s="4"/>
      <c r="C11">
        <f t="shared" si="0"/>
        <v>3</v>
      </c>
      <c r="D11">
        <f t="shared" si="1"/>
        <v>7</v>
      </c>
      <c r="E11">
        <f t="shared" si="2"/>
        <v>0</v>
      </c>
      <c r="F11">
        <f t="shared" si="3"/>
        <v>0</v>
      </c>
      <c r="G11">
        <f t="shared" si="4"/>
        <v>0</v>
      </c>
    </row>
    <row r="12" spans="1:12" x14ac:dyDescent="0.25">
      <c r="A12" s="1"/>
    </row>
    <row r="13" spans="1:12" x14ac:dyDescent="0.25">
      <c r="A13" s="1" t="s">
        <v>1</v>
      </c>
      <c r="F13">
        <f ca="1">SUM(OFFSET(F14,,,8/nbrCell))</f>
        <v>0</v>
      </c>
      <c r="G13">
        <f ca="1">SUM(OFFSET(G14,,,8/nbrCell))</f>
        <v>2</v>
      </c>
      <c r="I13" s="33"/>
      <c r="J13" s="32"/>
      <c r="K13" s="34"/>
      <c r="L13" s="27"/>
    </row>
    <row r="14" spans="1:12" x14ac:dyDescent="0.25">
      <c r="A14" s="9" t="s">
        <v>7</v>
      </c>
      <c r="B14" s="32">
        <v>4</v>
      </c>
      <c r="C14">
        <f t="shared" ref="C14:C21" si="5">VLOOKUP(A14,result,2)</f>
        <v>0</v>
      </c>
      <c r="D14">
        <f t="shared" ref="D14:D21" si="6">VLOOKUP(A14,resTot,5)</f>
        <v>1</v>
      </c>
      <c r="E14">
        <f t="shared" ref="E14:E21" si="7">IF(ISNA(VLOOKUP(A14,resTot,6)),0,VLOOKUP(A14,resTot,6))</f>
        <v>0</v>
      </c>
      <c r="F14">
        <f t="shared" ref="F14:F21" si="8">IF(E14&lt;0,0,    IF(AND(E14&gt;0,B14=D14 ),pointsSerie+pointsPoints,  IF(E14&gt;0,pointsSerie,0)  )  )</f>
        <v>0</v>
      </c>
      <c r="G14">
        <f t="shared" ref="G14:G21" si="9">IF(E14=0,   IF(B14-D14 &gt;= 4 -C14, pointsSerie+pointsPoints,    IF(7-D14 &gt;= 4 -C14, pointsSerie, 0)  ),    0  )</f>
        <v>1</v>
      </c>
      <c r="I14" s="32"/>
      <c r="J14" s="32"/>
      <c r="K14" s="32"/>
      <c r="L14" s="7"/>
    </row>
    <row r="15" spans="1:12" x14ac:dyDescent="0.25">
      <c r="A15" s="9" t="s">
        <v>10</v>
      </c>
      <c r="B15" s="32">
        <v>4</v>
      </c>
      <c r="C15">
        <f t="shared" si="5"/>
        <v>0</v>
      </c>
      <c r="D15">
        <f t="shared" si="6"/>
        <v>1</v>
      </c>
      <c r="E15">
        <f t="shared" si="7"/>
        <v>0</v>
      </c>
      <c r="F15">
        <f t="shared" si="8"/>
        <v>0</v>
      </c>
      <c r="G15">
        <f t="shared" si="9"/>
        <v>1</v>
      </c>
      <c r="I15" s="32"/>
      <c r="J15" s="32"/>
      <c r="K15" s="34"/>
      <c r="L15" s="7"/>
    </row>
    <row r="16" spans="1:12" x14ac:dyDescent="0.25">
      <c r="A16" s="4" t="s">
        <v>51</v>
      </c>
      <c r="B16" s="4"/>
      <c r="C16">
        <f t="shared" si="5"/>
        <v>3</v>
      </c>
      <c r="D16">
        <f t="shared" si="6"/>
        <v>7</v>
      </c>
      <c r="E16">
        <f t="shared" si="7"/>
        <v>0</v>
      </c>
      <c r="F16">
        <f t="shared" si="8"/>
        <v>0</v>
      </c>
      <c r="G16">
        <f t="shared" si="9"/>
        <v>0</v>
      </c>
      <c r="I16" s="32"/>
      <c r="J16" s="32"/>
      <c r="K16" s="32"/>
      <c r="L16" s="7"/>
    </row>
    <row r="17" spans="1:12" x14ac:dyDescent="0.25">
      <c r="A17" s="4" t="s">
        <v>51</v>
      </c>
      <c r="B17" s="4"/>
      <c r="C17">
        <f t="shared" si="5"/>
        <v>3</v>
      </c>
      <c r="D17">
        <f t="shared" si="6"/>
        <v>7</v>
      </c>
      <c r="E17">
        <f t="shared" si="7"/>
        <v>0</v>
      </c>
      <c r="F17">
        <f t="shared" si="8"/>
        <v>0</v>
      </c>
      <c r="G17">
        <f t="shared" si="9"/>
        <v>0</v>
      </c>
      <c r="I17" s="33"/>
      <c r="J17" s="32"/>
      <c r="K17" s="34"/>
      <c r="L17" s="7"/>
    </row>
    <row r="18" spans="1:12" x14ac:dyDescent="0.25">
      <c r="A18" s="4" t="s">
        <v>51</v>
      </c>
      <c r="B18" s="4"/>
      <c r="C18">
        <f t="shared" si="5"/>
        <v>3</v>
      </c>
      <c r="D18">
        <f t="shared" si="6"/>
        <v>7</v>
      </c>
      <c r="E18">
        <f t="shared" si="7"/>
        <v>0</v>
      </c>
      <c r="F18">
        <f t="shared" si="8"/>
        <v>0</v>
      </c>
      <c r="G18">
        <f t="shared" si="9"/>
        <v>0</v>
      </c>
      <c r="I18" s="32"/>
      <c r="J18" s="32"/>
      <c r="K18" s="32"/>
      <c r="L18" s="7"/>
    </row>
    <row r="19" spans="1:12" x14ac:dyDescent="0.25">
      <c r="A19" s="4" t="s">
        <v>51</v>
      </c>
      <c r="B19" s="4"/>
      <c r="C19">
        <f t="shared" si="5"/>
        <v>3</v>
      </c>
      <c r="D19">
        <f t="shared" si="6"/>
        <v>7</v>
      </c>
      <c r="E19">
        <f t="shared" si="7"/>
        <v>0</v>
      </c>
      <c r="F19">
        <f t="shared" si="8"/>
        <v>0</v>
      </c>
      <c r="G19">
        <f t="shared" si="9"/>
        <v>0</v>
      </c>
      <c r="I19" s="32"/>
      <c r="J19" s="32"/>
      <c r="K19" s="34"/>
      <c r="L19" s="7"/>
    </row>
    <row r="20" spans="1:12" x14ac:dyDescent="0.25">
      <c r="A20" s="4" t="s">
        <v>51</v>
      </c>
      <c r="B20" s="4"/>
      <c r="C20">
        <f t="shared" si="5"/>
        <v>3</v>
      </c>
      <c r="D20">
        <f t="shared" si="6"/>
        <v>7</v>
      </c>
      <c r="E20">
        <f t="shared" si="7"/>
        <v>0</v>
      </c>
      <c r="F20">
        <f t="shared" si="8"/>
        <v>0</v>
      </c>
      <c r="G20">
        <f t="shared" si="9"/>
        <v>0</v>
      </c>
      <c r="I20" s="32"/>
      <c r="J20" s="32"/>
      <c r="K20" s="32"/>
      <c r="L20" s="7"/>
    </row>
    <row r="21" spans="1:12" x14ac:dyDescent="0.25">
      <c r="A21" s="4" t="s">
        <v>51</v>
      </c>
      <c r="B21" s="4"/>
      <c r="C21">
        <f t="shared" si="5"/>
        <v>3</v>
      </c>
      <c r="D21">
        <f t="shared" si="6"/>
        <v>7</v>
      </c>
      <c r="E21">
        <f t="shared" si="7"/>
        <v>0</v>
      </c>
      <c r="F21">
        <f t="shared" si="8"/>
        <v>0</v>
      </c>
      <c r="G21">
        <f t="shared" si="9"/>
        <v>0</v>
      </c>
      <c r="I21" s="33"/>
      <c r="J21" s="32"/>
      <c r="K21" s="34"/>
      <c r="L21" s="7"/>
    </row>
    <row r="22" spans="1:12" x14ac:dyDescent="0.25">
      <c r="A22" s="1"/>
      <c r="J22" s="9"/>
      <c r="K22" s="32"/>
    </row>
    <row r="23" spans="1:12" x14ac:dyDescent="0.25">
      <c r="A23" s="1" t="s">
        <v>2</v>
      </c>
      <c r="F23">
        <f ca="1">SUM(OFFSET(F24,,,8/nbrCell))</f>
        <v>0</v>
      </c>
      <c r="G23">
        <f ca="1">SUM(OFFSET(G24,,,8/nbrCell))</f>
        <v>2</v>
      </c>
      <c r="J23" s="32"/>
      <c r="K23" s="34"/>
    </row>
    <row r="24" spans="1:12" x14ac:dyDescent="0.25">
      <c r="A24" s="9" t="s">
        <v>7</v>
      </c>
      <c r="B24" s="32">
        <v>4</v>
      </c>
      <c r="C24">
        <f t="shared" ref="C24:C31" si="10">VLOOKUP(A24,result,2)</f>
        <v>0</v>
      </c>
      <c r="D24">
        <f t="shared" ref="D24:D31" si="11">VLOOKUP(A24,resTot,5)</f>
        <v>1</v>
      </c>
      <c r="E24">
        <f t="shared" ref="E24:E31" si="12">IF(ISNA(VLOOKUP(A24,resTot,6)),0,VLOOKUP(A24,resTot,6))</f>
        <v>0</v>
      </c>
      <c r="F24">
        <f t="shared" ref="F24:F31" si="13">IF(E24&lt;0,0,    IF(AND(E24&gt;0,B24=D24 ),pointsSerie+pointsPoints,  IF(E24&gt;0,pointsSerie,0)  )  )</f>
        <v>0</v>
      </c>
      <c r="G24">
        <f t="shared" ref="G24:G31" si="14">IF(E24=0,   IF(B24-D24 &gt;= 4 -C24, pointsSerie+pointsPoints,    IF(7-D24 &gt;= 4 -C24, pointsSerie, 0)  ),    0  )</f>
        <v>1</v>
      </c>
      <c r="J24" s="32"/>
      <c r="K24" s="32"/>
    </row>
    <row r="25" spans="1:12" x14ac:dyDescent="0.25">
      <c r="A25" s="9" t="s">
        <v>10</v>
      </c>
      <c r="B25" s="32">
        <v>4</v>
      </c>
      <c r="C25">
        <f t="shared" si="10"/>
        <v>0</v>
      </c>
      <c r="D25">
        <f t="shared" si="11"/>
        <v>1</v>
      </c>
      <c r="E25">
        <f t="shared" si="12"/>
        <v>0</v>
      </c>
      <c r="F25">
        <f t="shared" si="13"/>
        <v>0</v>
      </c>
      <c r="G25">
        <f t="shared" si="14"/>
        <v>1</v>
      </c>
    </row>
    <row r="26" spans="1:12" x14ac:dyDescent="0.25">
      <c r="A26" s="4" t="s">
        <v>51</v>
      </c>
      <c r="B26" s="4"/>
      <c r="C26">
        <f t="shared" si="10"/>
        <v>3</v>
      </c>
      <c r="D26">
        <f t="shared" si="11"/>
        <v>7</v>
      </c>
      <c r="E26">
        <f t="shared" si="12"/>
        <v>0</v>
      </c>
      <c r="F26">
        <f t="shared" si="13"/>
        <v>0</v>
      </c>
      <c r="G26">
        <f t="shared" si="14"/>
        <v>0</v>
      </c>
    </row>
    <row r="27" spans="1:12" x14ac:dyDescent="0.25">
      <c r="A27" s="4" t="s">
        <v>51</v>
      </c>
      <c r="B27" s="4"/>
      <c r="C27">
        <f t="shared" si="10"/>
        <v>3</v>
      </c>
      <c r="D27">
        <f t="shared" si="11"/>
        <v>7</v>
      </c>
      <c r="E27">
        <f t="shared" si="12"/>
        <v>0</v>
      </c>
      <c r="F27">
        <f t="shared" si="13"/>
        <v>0</v>
      </c>
      <c r="G27">
        <f t="shared" si="14"/>
        <v>0</v>
      </c>
    </row>
    <row r="28" spans="1:12" x14ac:dyDescent="0.25">
      <c r="A28" s="4" t="s">
        <v>51</v>
      </c>
      <c r="B28" s="4"/>
      <c r="C28">
        <f t="shared" si="10"/>
        <v>3</v>
      </c>
      <c r="D28">
        <f t="shared" si="11"/>
        <v>7</v>
      </c>
      <c r="E28">
        <f t="shared" si="12"/>
        <v>0</v>
      </c>
      <c r="F28">
        <f t="shared" si="13"/>
        <v>0</v>
      </c>
      <c r="G28">
        <f t="shared" si="14"/>
        <v>0</v>
      </c>
    </row>
    <row r="29" spans="1:12" x14ac:dyDescent="0.25">
      <c r="A29" s="4" t="s">
        <v>51</v>
      </c>
      <c r="B29" s="4"/>
      <c r="C29">
        <f t="shared" si="10"/>
        <v>3</v>
      </c>
      <c r="D29">
        <f t="shared" si="11"/>
        <v>7</v>
      </c>
      <c r="E29">
        <f t="shared" si="12"/>
        <v>0</v>
      </c>
      <c r="F29">
        <f t="shared" si="13"/>
        <v>0</v>
      </c>
      <c r="G29">
        <f t="shared" si="14"/>
        <v>0</v>
      </c>
    </row>
    <row r="30" spans="1:12" x14ac:dyDescent="0.25">
      <c r="A30" s="4" t="s">
        <v>51</v>
      </c>
      <c r="B30" s="4"/>
      <c r="C30">
        <f t="shared" si="10"/>
        <v>3</v>
      </c>
      <c r="D30">
        <f t="shared" si="11"/>
        <v>7</v>
      </c>
      <c r="E30">
        <f t="shared" si="12"/>
        <v>0</v>
      </c>
      <c r="F30">
        <f t="shared" si="13"/>
        <v>0</v>
      </c>
      <c r="G30">
        <f t="shared" si="14"/>
        <v>0</v>
      </c>
    </row>
    <row r="31" spans="1:12" x14ac:dyDescent="0.25">
      <c r="A31" s="4" t="s">
        <v>51</v>
      </c>
      <c r="B31" s="4"/>
      <c r="C31">
        <f t="shared" si="10"/>
        <v>3</v>
      </c>
      <c r="D31">
        <f t="shared" si="11"/>
        <v>7</v>
      </c>
      <c r="E31">
        <f t="shared" si="12"/>
        <v>0</v>
      </c>
      <c r="F31">
        <f t="shared" si="13"/>
        <v>0</v>
      </c>
      <c r="G31">
        <f t="shared" si="14"/>
        <v>0</v>
      </c>
    </row>
    <row r="32" spans="1:12" x14ac:dyDescent="0.25">
      <c r="A32" s="1"/>
    </row>
    <row r="33" spans="1:7" x14ac:dyDescent="0.25">
      <c r="A33" t="s">
        <v>4</v>
      </c>
      <c r="F33">
        <f ca="1">SUM(OFFSET(F34,,,8/nbrCell))</f>
        <v>0</v>
      </c>
      <c r="G33">
        <f ca="1">SUM(OFFSET(G34,,,8/nbrCell))</f>
        <v>4</v>
      </c>
    </row>
    <row r="34" spans="1:7" x14ac:dyDescent="0.25">
      <c r="A34" s="32" t="s">
        <v>35</v>
      </c>
      <c r="B34" s="32">
        <v>7</v>
      </c>
      <c r="C34">
        <f t="shared" ref="C34:C41" si="15">VLOOKUP(A34,result,2)</f>
        <v>1</v>
      </c>
      <c r="D34">
        <f t="shared" ref="D34:D41" si="16">VLOOKUP(A34,resTot,5)</f>
        <v>2</v>
      </c>
      <c r="E34">
        <f t="shared" ref="E34:E41" si="17">IF(ISNA(VLOOKUP(A34,resTot,6)),0,VLOOKUP(A34,resTot,6))</f>
        <v>0</v>
      </c>
      <c r="F34">
        <f t="shared" ref="F34:F41" si="18">IF(E34&lt;0,0,    IF(AND(E34&gt;0,B34=D34 ),pointsSerie+pointsPoints,  IF(E34&gt;0,pointsSerie,0)  )  )</f>
        <v>0</v>
      </c>
      <c r="G34">
        <f t="shared" ref="G34:G41" si="19">IF(E34=0,   IF(B34-D34 &gt;= 4 -C34, pointsSerie+pointsPoints,    IF(7-D34 &gt;= 4 -C34, pointsSerie, 0)  ),    0  )</f>
        <v>2</v>
      </c>
    </row>
    <row r="35" spans="1:7" x14ac:dyDescent="0.25">
      <c r="A35" s="32" t="s">
        <v>10</v>
      </c>
      <c r="B35" s="32">
        <v>7</v>
      </c>
      <c r="C35">
        <f t="shared" si="15"/>
        <v>0</v>
      </c>
      <c r="D35">
        <f t="shared" si="16"/>
        <v>1</v>
      </c>
      <c r="E35">
        <f t="shared" si="17"/>
        <v>0</v>
      </c>
      <c r="F35">
        <f t="shared" si="18"/>
        <v>0</v>
      </c>
      <c r="G35">
        <f t="shared" si="19"/>
        <v>2</v>
      </c>
    </row>
    <row r="36" spans="1:7" x14ac:dyDescent="0.25">
      <c r="A36" s="4" t="s">
        <v>51</v>
      </c>
      <c r="B36" s="4"/>
      <c r="C36">
        <f t="shared" si="15"/>
        <v>3</v>
      </c>
      <c r="D36">
        <f t="shared" si="16"/>
        <v>7</v>
      </c>
      <c r="E36">
        <f t="shared" si="17"/>
        <v>0</v>
      </c>
      <c r="F36">
        <f t="shared" si="18"/>
        <v>0</v>
      </c>
      <c r="G36">
        <f t="shared" si="19"/>
        <v>0</v>
      </c>
    </row>
    <row r="37" spans="1:7" x14ac:dyDescent="0.25">
      <c r="A37" s="4" t="s">
        <v>51</v>
      </c>
      <c r="B37" s="4"/>
      <c r="C37">
        <f t="shared" si="15"/>
        <v>3</v>
      </c>
      <c r="D37">
        <f t="shared" si="16"/>
        <v>7</v>
      </c>
      <c r="E37">
        <f t="shared" si="17"/>
        <v>0</v>
      </c>
      <c r="F37">
        <f t="shared" si="18"/>
        <v>0</v>
      </c>
      <c r="G37">
        <f t="shared" si="19"/>
        <v>0</v>
      </c>
    </row>
    <row r="38" spans="1:7" x14ac:dyDescent="0.25">
      <c r="A38" s="4" t="s">
        <v>51</v>
      </c>
      <c r="B38" s="4"/>
      <c r="C38">
        <f t="shared" si="15"/>
        <v>3</v>
      </c>
      <c r="D38">
        <f t="shared" si="16"/>
        <v>7</v>
      </c>
      <c r="E38">
        <f t="shared" si="17"/>
        <v>0</v>
      </c>
      <c r="F38">
        <f t="shared" si="18"/>
        <v>0</v>
      </c>
      <c r="G38">
        <f t="shared" si="19"/>
        <v>0</v>
      </c>
    </row>
    <row r="39" spans="1:7" x14ac:dyDescent="0.25">
      <c r="A39" s="4" t="s">
        <v>51</v>
      </c>
      <c r="B39" s="4"/>
      <c r="C39">
        <f t="shared" si="15"/>
        <v>3</v>
      </c>
      <c r="D39">
        <f t="shared" si="16"/>
        <v>7</v>
      </c>
      <c r="E39">
        <f t="shared" si="17"/>
        <v>0</v>
      </c>
      <c r="F39">
        <f t="shared" si="18"/>
        <v>0</v>
      </c>
      <c r="G39">
        <f t="shared" si="19"/>
        <v>0</v>
      </c>
    </row>
    <row r="40" spans="1:7" x14ac:dyDescent="0.25">
      <c r="A40" s="4" t="s">
        <v>51</v>
      </c>
      <c r="B40" s="4"/>
      <c r="C40">
        <f t="shared" si="15"/>
        <v>3</v>
      </c>
      <c r="D40">
        <f t="shared" si="16"/>
        <v>7</v>
      </c>
      <c r="E40">
        <f t="shared" si="17"/>
        <v>0</v>
      </c>
      <c r="F40">
        <f t="shared" si="18"/>
        <v>0</v>
      </c>
      <c r="G40">
        <f t="shared" si="19"/>
        <v>0</v>
      </c>
    </row>
    <row r="41" spans="1:7" x14ac:dyDescent="0.25">
      <c r="A41" s="4" t="s">
        <v>51</v>
      </c>
      <c r="B41" s="4"/>
      <c r="C41">
        <f t="shared" si="15"/>
        <v>3</v>
      </c>
      <c r="D41">
        <f t="shared" si="16"/>
        <v>7</v>
      </c>
      <c r="E41">
        <f t="shared" si="17"/>
        <v>0</v>
      </c>
      <c r="F41">
        <f t="shared" si="18"/>
        <v>0</v>
      </c>
      <c r="G41">
        <f t="shared" si="19"/>
        <v>0</v>
      </c>
    </row>
    <row r="42" spans="1:7" x14ac:dyDescent="0.25">
      <c r="A42" s="1"/>
    </row>
    <row r="43" spans="1:7" x14ac:dyDescent="0.25">
      <c r="A43" s="1" t="s">
        <v>36</v>
      </c>
      <c r="F43">
        <f ca="1">SUM(OFFSET(F44,,,8/nbrCell))</f>
        <v>0</v>
      </c>
      <c r="G43">
        <f ca="1">SUM(OFFSET(G44,,,8/nbrCell))</f>
        <v>4</v>
      </c>
    </row>
    <row r="44" spans="1:7" x14ac:dyDescent="0.25">
      <c r="A44" s="32" t="s">
        <v>35</v>
      </c>
      <c r="B44" s="32">
        <v>7</v>
      </c>
      <c r="C44">
        <f t="shared" ref="C44:C51" si="20">VLOOKUP(A44,result,2)</f>
        <v>1</v>
      </c>
      <c r="D44">
        <f t="shared" ref="D44:D51" si="21">VLOOKUP(A44,resTot,5)</f>
        <v>2</v>
      </c>
      <c r="E44">
        <f t="shared" ref="E44:E51" si="22">IF(ISNA(VLOOKUP(A44,resTot,6)),0,VLOOKUP(A44,resTot,6))</f>
        <v>0</v>
      </c>
      <c r="F44">
        <f t="shared" ref="F44:F51" si="23">IF(E44&lt;0,0,    IF(AND(E44&gt;0,B44=D44 ),pointsSerie+pointsPoints,  IF(E44&gt;0,pointsSerie,0)  )  )</f>
        <v>0</v>
      </c>
      <c r="G44">
        <f t="shared" ref="G44:G51" si="24">IF(E44=0,   IF(B44-D44 &gt;= 4 -C44, pointsSerie+pointsPoints,    IF(7-D44 &gt;= 4 -C44, pointsSerie, 0)  ),    0  )</f>
        <v>2</v>
      </c>
    </row>
    <row r="45" spans="1:7" x14ac:dyDescent="0.25">
      <c r="A45" s="32" t="s">
        <v>10</v>
      </c>
      <c r="B45" s="32">
        <v>6</v>
      </c>
      <c r="C45">
        <f t="shared" si="20"/>
        <v>0</v>
      </c>
      <c r="D45">
        <f t="shared" si="21"/>
        <v>1</v>
      </c>
      <c r="E45">
        <f t="shared" si="22"/>
        <v>0</v>
      </c>
      <c r="F45">
        <f t="shared" si="23"/>
        <v>0</v>
      </c>
      <c r="G45">
        <f t="shared" si="24"/>
        <v>2</v>
      </c>
    </row>
    <row r="46" spans="1:7" x14ac:dyDescent="0.25">
      <c r="A46" s="4" t="s">
        <v>51</v>
      </c>
      <c r="B46" s="4"/>
      <c r="C46">
        <f t="shared" si="20"/>
        <v>3</v>
      </c>
      <c r="D46">
        <f t="shared" si="21"/>
        <v>7</v>
      </c>
      <c r="E46">
        <f t="shared" si="22"/>
        <v>0</v>
      </c>
      <c r="F46">
        <f t="shared" si="23"/>
        <v>0</v>
      </c>
      <c r="G46">
        <f t="shared" si="24"/>
        <v>0</v>
      </c>
    </row>
    <row r="47" spans="1:7" x14ac:dyDescent="0.25">
      <c r="A47" s="4" t="s">
        <v>51</v>
      </c>
      <c r="B47" s="4"/>
      <c r="C47">
        <f t="shared" si="20"/>
        <v>3</v>
      </c>
      <c r="D47">
        <f t="shared" si="21"/>
        <v>7</v>
      </c>
      <c r="E47">
        <f t="shared" si="22"/>
        <v>0</v>
      </c>
      <c r="F47">
        <f t="shared" si="23"/>
        <v>0</v>
      </c>
      <c r="G47">
        <f t="shared" si="24"/>
        <v>0</v>
      </c>
    </row>
    <row r="48" spans="1:7" x14ac:dyDescent="0.25">
      <c r="A48" s="4" t="s">
        <v>51</v>
      </c>
      <c r="B48" s="4"/>
      <c r="C48">
        <f t="shared" si="20"/>
        <v>3</v>
      </c>
      <c r="D48">
        <f t="shared" si="21"/>
        <v>7</v>
      </c>
      <c r="E48">
        <f t="shared" si="22"/>
        <v>0</v>
      </c>
      <c r="F48">
        <f t="shared" si="23"/>
        <v>0</v>
      </c>
      <c r="G48">
        <f t="shared" si="24"/>
        <v>0</v>
      </c>
    </row>
    <row r="49" spans="1:7" x14ac:dyDescent="0.25">
      <c r="A49" s="4" t="s">
        <v>51</v>
      </c>
      <c r="B49" s="4"/>
      <c r="C49">
        <f t="shared" si="20"/>
        <v>3</v>
      </c>
      <c r="D49">
        <f t="shared" si="21"/>
        <v>7</v>
      </c>
      <c r="E49">
        <f t="shared" si="22"/>
        <v>0</v>
      </c>
      <c r="F49">
        <f t="shared" si="23"/>
        <v>0</v>
      </c>
      <c r="G49">
        <f t="shared" si="24"/>
        <v>0</v>
      </c>
    </row>
    <row r="50" spans="1:7" x14ac:dyDescent="0.25">
      <c r="A50" s="4" t="s">
        <v>51</v>
      </c>
      <c r="B50" s="4"/>
      <c r="C50">
        <f t="shared" si="20"/>
        <v>3</v>
      </c>
      <c r="D50">
        <f t="shared" si="21"/>
        <v>7</v>
      </c>
      <c r="E50">
        <f t="shared" si="22"/>
        <v>0</v>
      </c>
      <c r="F50">
        <f t="shared" si="23"/>
        <v>0</v>
      </c>
      <c r="G50">
        <f t="shared" si="24"/>
        <v>0</v>
      </c>
    </row>
    <row r="51" spans="1:7" x14ac:dyDescent="0.25">
      <c r="A51" s="4" t="s">
        <v>51</v>
      </c>
      <c r="B51" s="4"/>
      <c r="C51">
        <f t="shared" si="20"/>
        <v>3</v>
      </c>
      <c r="D51">
        <f t="shared" si="21"/>
        <v>7</v>
      </c>
      <c r="E51">
        <f t="shared" si="22"/>
        <v>0</v>
      </c>
      <c r="F51">
        <f t="shared" si="23"/>
        <v>0</v>
      </c>
      <c r="G51">
        <f t="shared" si="24"/>
        <v>0</v>
      </c>
    </row>
    <row r="52" spans="1:7" x14ac:dyDescent="0.25">
      <c r="A52" s="1"/>
    </row>
    <row r="53" spans="1:7" x14ac:dyDescent="0.25">
      <c r="A53" t="s">
        <v>3</v>
      </c>
      <c r="F53">
        <f ca="1">SUM(OFFSET(F54,,,8/nbrCell))</f>
        <v>0</v>
      </c>
      <c r="G53">
        <f ca="1">SUM(OFFSET(G54,,,8/nbrCell))</f>
        <v>4</v>
      </c>
    </row>
    <row r="54" spans="1:7" x14ac:dyDescent="0.25">
      <c r="A54" s="32" t="s">
        <v>35</v>
      </c>
      <c r="B54" s="32">
        <v>6</v>
      </c>
      <c r="C54">
        <f t="shared" ref="C54:C61" si="25">VLOOKUP(A54,result,2)</f>
        <v>1</v>
      </c>
      <c r="D54">
        <f t="shared" ref="D54:D61" si="26">VLOOKUP(A54,resTot,5)</f>
        <v>2</v>
      </c>
      <c r="E54">
        <f t="shared" ref="E54:E61" si="27">IF(ISNA(VLOOKUP(A54,resTot,6)),0,VLOOKUP(A54,resTot,6))</f>
        <v>0</v>
      </c>
      <c r="F54">
        <f t="shared" ref="F54:F61" si="28">IF(E54&lt;0,0,    IF(AND(E54&gt;0,B54=D54 ),pointsSerie+pointsPoints,  IF(E54&gt;0,pointsSerie,0)  )  )</f>
        <v>0</v>
      </c>
      <c r="G54">
        <f t="shared" ref="G54:G61" si="29">IF(E54=0,   IF(B54-D54 &gt;= 4 -C54, pointsSerie+pointsPoints,    IF(7-D54 &gt;= 4 -C54, pointsSerie, 0)  ),    0  )</f>
        <v>2</v>
      </c>
    </row>
    <row r="55" spans="1:7" x14ac:dyDescent="0.25">
      <c r="A55" s="32" t="s">
        <v>10</v>
      </c>
      <c r="B55" s="32">
        <v>5</v>
      </c>
      <c r="C55">
        <f t="shared" si="25"/>
        <v>0</v>
      </c>
      <c r="D55">
        <f t="shared" si="26"/>
        <v>1</v>
      </c>
      <c r="E55">
        <f t="shared" si="27"/>
        <v>0</v>
      </c>
      <c r="F55">
        <f t="shared" si="28"/>
        <v>0</v>
      </c>
      <c r="G55">
        <f t="shared" si="29"/>
        <v>2</v>
      </c>
    </row>
    <row r="56" spans="1:7" x14ac:dyDescent="0.25">
      <c r="A56" s="4" t="s">
        <v>51</v>
      </c>
      <c r="B56" s="4"/>
      <c r="C56">
        <f t="shared" si="25"/>
        <v>3</v>
      </c>
      <c r="D56">
        <f t="shared" si="26"/>
        <v>7</v>
      </c>
      <c r="E56">
        <f t="shared" si="27"/>
        <v>0</v>
      </c>
      <c r="F56">
        <f t="shared" si="28"/>
        <v>0</v>
      </c>
      <c r="G56">
        <f t="shared" si="29"/>
        <v>0</v>
      </c>
    </row>
    <row r="57" spans="1:7" x14ac:dyDescent="0.25">
      <c r="A57" s="4" t="s">
        <v>51</v>
      </c>
      <c r="B57" s="4"/>
      <c r="C57">
        <f t="shared" si="25"/>
        <v>3</v>
      </c>
      <c r="D57">
        <f t="shared" si="26"/>
        <v>7</v>
      </c>
      <c r="E57">
        <f t="shared" si="27"/>
        <v>0</v>
      </c>
      <c r="F57">
        <f t="shared" si="28"/>
        <v>0</v>
      </c>
      <c r="G57">
        <f t="shared" si="29"/>
        <v>0</v>
      </c>
    </row>
    <row r="58" spans="1:7" x14ac:dyDescent="0.25">
      <c r="A58" s="4" t="s">
        <v>51</v>
      </c>
      <c r="B58" s="4"/>
      <c r="C58">
        <f t="shared" si="25"/>
        <v>3</v>
      </c>
      <c r="D58">
        <f t="shared" si="26"/>
        <v>7</v>
      </c>
      <c r="E58">
        <f t="shared" si="27"/>
        <v>0</v>
      </c>
      <c r="F58">
        <f t="shared" si="28"/>
        <v>0</v>
      </c>
      <c r="G58">
        <f t="shared" si="29"/>
        <v>0</v>
      </c>
    </row>
    <row r="59" spans="1:7" x14ac:dyDescent="0.25">
      <c r="A59" s="4" t="s">
        <v>51</v>
      </c>
      <c r="B59" s="4"/>
      <c r="C59">
        <f t="shared" si="25"/>
        <v>3</v>
      </c>
      <c r="D59">
        <f t="shared" si="26"/>
        <v>7</v>
      </c>
      <c r="E59">
        <f t="shared" si="27"/>
        <v>0</v>
      </c>
      <c r="F59">
        <f t="shared" si="28"/>
        <v>0</v>
      </c>
      <c r="G59">
        <f t="shared" si="29"/>
        <v>0</v>
      </c>
    </row>
    <row r="60" spans="1:7" x14ac:dyDescent="0.25">
      <c r="A60" s="4" t="s">
        <v>51</v>
      </c>
      <c r="B60" s="4"/>
      <c r="C60">
        <f t="shared" si="25"/>
        <v>3</v>
      </c>
      <c r="D60">
        <f t="shared" si="26"/>
        <v>7</v>
      </c>
      <c r="E60">
        <f t="shared" si="27"/>
        <v>0</v>
      </c>
      <c r="F60">
        <f t="shared" si="28"/>
        <v>0</v>
      </c>
      <c r="G60">
        <f t="shared" si="29"/>
        <v>0</v>
      </c>
    </row>
    <row r="61" spans="1:7" x14ac:dyDescent="0.25">
      <c r="A61" s="4" t="s">
        <v>51</v>
      </c>
      <c r="B61" s="4"/>
      <c r="C61">
        <f t="shared" si="25"/>
        <v>3</v>
      </c>
      <c r="D61">
        <f t="shared" si="26"/>
        <v>7</v>
      </c>
      <c r="E61">
        <f t="shared" si="27"/>
        <v>0</v>
      </c>
      <c r="F61">
        <f t="shared" si="28"/>
        <v>0</v>
      </c>
      <c r="G61">
        <f t="shared" si="29"/>
        <v>0</v>
      </c>
    </row>
    <row r="62" spans="1:7" x14ac:dyDescent="0.25">
      <c r="A62" s="1"/>
    </row>
    <row r="63" spans="1:7" x14ac:dyDescent="0.25">
      <c r="F63">
        <f ca="1">SUM(OFFSET(F64,,,8/nbrCell))</f>
        <v>0</v>
      </c>
      <c r="G63">
        <f ca="1">SUM(OFFSET(G64,,,8/nbrCell))</f>
        <v>2</v>
      </c>
    </row>
    <row r="64" spans="1:7" x14ac:dyDescent="0.25">
      <c r="A64" s="32" t="s">
        <v>35</v>
      </c>
      <c r="B64" s="4"/>
      <c r="C64">
        <f t="shared" ref="C64:C71" si="30">VLOOKUP(A64,result,2)</f>
        <v>1</v>
      </c>
      <c r="D64">
        <f t="shared" ref="D64:D71" si="31">VLOOKUP(A64,resTot,5)</f>
        <v>2</v>
      </c>
      <c r="E64">
        <f t="shared" ref="E64:E71" si="32">IF(ISNA(VLOOKUP(A64,resTot,6)),0,VLOOKUP(A64,resTot,6))</f>
        <v>0</v>
      </c>
      <c r="F64">
        <f t="shared" ref="F64:F71" si="33">IF(E64&lt;0,0,    IF(AND(E64&gt;0,B64=D64 ),pointsSerie+pointsPoints,  IF(E64&gt;0,pointsSerie,0)  )  )</f>
        <v>0</v>
      </c>
      <c r="G64">
        <f t="shared" ref="G64:G71" si="34">IF(E64=0,   IF(B64-D64 &gt;= 4 -C64, pointsSerie+pointsPoints,    IF(7-D64 &gt;= 4 -C64, pointsSerie, 0)  ),    0  )</f>
        <v>1</v>
      </c>
    </row>
    <row r="65" spans="1:7" x14ac:dyDescent="0.25">
      <c r="A65" s="4" t="s">
        <v>35</v>
      </c>
      <c r="B65" s="4"/>
      <c r="C65">
        <f t="shared" si="30"/>
        <v>1</v>
      </c>
      <c r="D65">
        <f t="shared" si="31"/>
        <v>2</v>
      </c>
      <c r="E65">
        <f t="shared" si="32"/>
        <v>0</v>
      </c>
      <c r="F65">
        <f t="shared" si="33"/>
        <v>0</v>
      </c>
      <c r="G65">
        <f t="shared" si="34"/>
        <v>1</v>
      </c>
    </row>
    <row r="66" spans="1:7" x14ac:dyDescent="0.25">
      <c r="A66" s="4" t="s">
        <v>7</v>
      </c>
      <c r="B66" s="4"/>
      <c r="C66">
        <f t="shared" si="30"/>
        <v>0</v>
      </c>
      <c r="D66">
        <f t="shared" si="31"/>
        <v>1</v>
      </c>
      <c r="E66">
        <f t="shared" si="32"/>
        <v>0</v>
      </c>
      <c r="F66">
        <f t="shared" si="33"/>
        <v>0</v>
      </c>
      <c r="G66">
        <f t="shared" si="34"/>
        <v>1</v>
      </c>
    </row>
    <row r="67" spans="1:7" x14ac:dyDescent="0.25">
      <c r="A67" s="4" t="s">
        <v>42</v>
      </c>
      <c r="B67" s="4"/>
      <c r="C67">
        <f t="shared" si="30"/>
        <v>1</v>
      </c>
      <c r="D67">
        <f t="shared" si="31"/>
        <v>2</v>
      </c>
      <c r="E67">
        <f t="shared" si="32"/>
        <v>0</v>
      </c>
      <c r="F67">
        <f t="shared" si="33"/>
        <v>0</v>
      </c>
      <c r="G67">
        <f t="shared" si="34"/>
        <v>1</v>
      </c>
    </row>
    <row r="68" spans="1:7" x14ac:dyDescent="0.25">
      <c r="A68" s="4" t="s">
        <v>51</v>
      </c>
      <c r="B68" s="4"/>
      <c r="C68">
        <f t="shared" si="30"/>
        <v>3</v>
      </c>
      <c r="D68">
        <f t="shared" si="31"/>
        <v>7</v>
      </c>
      <c r="E68">
        <f t="shared" si="32"/>
        <v>0</v>
      </c>
      <c r="F68">
        <f t="shared" si="33"/>
        <v>0</v>
      </c>
      <c r="G68">
        <f t="shared" si="34"/>
        <v>0</v>
      </c>
    </row>
    <row r="69" spans="1:7" x14ac:dyDescent="0.25">
      <c r="A69" s="4" t="s">
        <v>51</v>
      </c>
      <c r="B69" s="4"/>
      <c r="C69">
        <f t="shared" si="30"/>
        <v>3</v>
      </c>
      <c r="D69">
        <f t="shared" si="31"/>
        <v>7</v>
      </c>
      <c r="E69">
        <f t="shared" si="32"/>
        <v>0</v>
      </c>
      <c r="F69">
        <f t="shared" si="33"/>
        <v>0</v>
      </c>
      <c r="G69">
        <f t="shared" si="34"/>
        <v>0</v>
      </c>
    </row>
    <row r="70" spans="1:7" x14ac:dyDescent="0.25">
      <c r="A70" s="4" t="s">
        <v>51</v>
      </c>
      <c r="B70" s="4"/>
      <c r="C70">
        <f t="shared" si="30"/>
        <v>3</v>
      </c>
      <c r="D70">
        <f t="shared" si="31"/>
        <v>7</v>
      </c>
      <c r="E70">
        <f t="shared" si="32"/>
        <v>0</v>
      </c>
      <c r="F70">
        <f t="shared" si="33"/>
        <v>0</v>
      </c>
      <c r="G70">
        <f t="shared" si="34"/>
        <v>0</v>
      </c>
    </row>
    <row r="71" spans="1:7" x14ac:dyDescent="0.25">
      <c r="A71" s="4" t="s">
        <v>51</v>
      </c>
      <c r="B71" s="4"/>
      <c r="C71">
        <f t="shared" si="30"/>
        <v>3</v>
      </c>
      <c r="D71">
        <f t="shared" si="31"/>
        <v>7</v>
      </c>
      <c r="E71">
        <f t="shared" si="32"/>
        <v>0</v>
      </c>
      <c r="F71">
        <f t="shared" si="33"/>
        <v>0</v>
      </c>
      <c r="G71">
        <f t="shared" si="34"/>
        <v>0</v>
      </c>
    </row>
  </sheetData>
  <mergeCells count="3">
    <mergeCell ref="B1:D1"/>
    <mergeCell ref="F1:G1"/>
    <mergeCell ref="E1:E2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C8B5-7871-4B1E-A9B4-EF10A5B65518}">
  <sheetPr codeName="Feuil3"/>
  <dimension ref="A1:S43"/>
  <sheetViews>
    <sheetView tabSelected="1" workbookViewId="0">
      <selection activeCell="Q7" sqref="Q7"/>
    </sheetView>
  </sheetViews>
  <sheetFormatPr baseColWidth="10" defaultColWidth="9.140625" defaultRowHeight="15" x14ac:dyDescent="0.25"/>
  <cols>
    <col min="1" max="1" width="11.5703125" customWidth="1"/>
    <col min="3" max="4" width="9.140625" style="7"/>
    <col min="6" max="7" width="9.140625" style="7"/>
    <col min="9" max="10" width="9.140625" style="7"/>
    <col min="12" max="13" width="9.140625" style="7"/>
    <col min="15" max="16" width="9.140625" style="7"/>
    <col min="18" max="19" width="9.140625" style="7"/>
  </cols>
  <sheetData>
    <row r="1" spans="1:19" ht="24.75" customHeight="1" x14ac:dyDescent="0.25">
      <c r="A1" s="19" t="s">
        <v>28</v>
      </c>
      <c r="B1" s="20">
        <v>1</v>
      </c>
    </row>
    <row r="2" spans="1:19" x14ac:dyDescent="0.25">
      <c r="A2" s="2" t="s">
        <v>20</v>
      </c>
      <c r="B2" s="2"/>
      <c r="C2" s="2" t="s">
        <v>15</v>
      </c>
      <c r="D2" s="2" t="s">
        <v>17</v>
      </c>
      <c r="E2" s="2"/>
      <c r="F2" s="2" t="s">
        <v>15</v>
      </c>
      <c r="G2" s="2" t="s">
        <v>17</v>
      </c>
      <c r="H2" s="2"/>
      <c r="I2" s="2" t="s">
        <v>15</v>
      </c>
      <c r="J2" s="2" t="s">
        <v>17</v>
      </c>
      <c r="K2" s="2"/>
      <c r="L2" s="2" t="s">
        <v>15</v>
      </c>
      <c r="M2" s="2" t="s">
        <v>17</v>
      </c>
      <c r="N2" s="2"/>
      <c r="O2" s="2" t="s">
        <v>15</v>
      </c>
      <c r="P2" s="2" t="s">
        <v>17</v>
      </c>
      <c r="Q2" s="2"/>
      <c r="R2" s="2" t="s">
        <v>15</v>
      </c>
      <c r="S2" s="2" t="s">
        <v>17</v>
      </c>
    </row>
    <row r="3" spans="1:19" ht="15.75" thickBot="1" x14ac:dyDescent="0.3">
      <c r="A3" s="5"/>
      <c r="B3" s="3" t="s">
        <v>0</v>
      </c>
      <c r="C3" s="4">
        <f ca="1">Choix!F3 + C14</f>
        <v>8</v>
      </c>
      <c r="D3" s="4">
        <f ca="1">P1G + SUM(D5:D12)</f>
        <v>12</v>
      </c>
      <c r="E3" s="3" t="s">
        <v>1</v>
      </c>
      <c r="F3" s="4">
        <f ca="1">Choix!F13 + F14</f>
        <v>8</v>
      </c>
      <c r="G3" s="4">
        <f ca="1">P2G + SUM(G5:G12)</f>
        <v>10</v>
      </c>
      <c r="H3" s="3" t="s">
        <v>2</v>
      </c>
      <c r="I3" s="4">
        <f ca="1">Choix!F23 + I14</f>
        <v>8</v>
      </c>
      <c r="J3" s="4">
        <f ca="1">P3G + SUM(J5:J12)</f>
        <v>10</v>
      </c>
      <c r="K3" t="s">
        <v>4</v>
      </c>
      <c r="L3" s="4">
        <f ca="1">Choix!F33 + L14</f>
        <v>9</v>
      </c>
      <c r="M3" s="4">
        <f ca="1">P4G + SUM(M5:M12)</f>
        <v>13</v>
      </c>
      <c r="N3" s="1" t="s">
        <v>36</v>
      </c>
      <c r="O3" s="4">
        <f ca="1">Choix!F43 + O14</f>
        <v>11</v>
      </c>
      <c r="P3" s="4">
        <f ca="1">P5G + SUM(P5:P12)</f>
        <v>15</v>
      </c>
      <c r="Q3" t="s">
        <v>3</v>
      </c>
      <c r="R3" s="4">
        <f ca="1">Choix!F53 + R14</f>
        <v>10</v>
      </c>
      <c r="S3" s="4">
        <f ca="1">P6G + SUM(S5:S12)</f>
        <v>14</v>
      </c>
    </row>
    <row r="4" spans="1:19" ht="15.75" x14ac:dyDescent="0.25">
      <c r="A4" s="25" t="s">
        <v>29</v>
      </c>
      <c r="B4" s="41" t="s">
        <v>49</v>
      </c>
      <c r="C4" s="42"/>
      <c r="D4" s="4"/>
      <c r="E4" s="41" t="s">
        <v>49</v>
      </c>
      <c r="F4" s="42"/>
      <c r="G4" s="4"/>
      <c r="H4" s="41" t="s">
        <v>49</v>
      </c>
      <c r="I4" s="42"/>
      <c r="J4" s="4"/>
      <c r="K4" s="41" t="s">
        <v>49</v>
      </c>
      <c r="L4" s="42"/>
      <c r="M4" s="4"/>
      <c r="N4" s="41" t="s">
        <v>49</v>
      </c>
      <c r="O4" s="42"/>
      <c r="P4" s="4"/>
      <c r="Q4" s="41" t="s">
        <v>49</v>
      </c>
      <c r="R4" s="42"/>
      <c r="S4" s="4"/>
    </row>
    <row r="5" spans="1:19" ht="16.5" thickBot="1" x14ac:dyDescent="0.3">
      <c r="A5" s="26">
        <f>ronde</f>
        <v>3</v>
      </c>
      <c r="B5" s="43" t="str">
        <f>Choix!A4</f>
        <v>CAR</v>
      </c>
      <c r="C5" s="43">
        <f>Choix!B4</f>
        <v>6</v>
      </c>
      <c r="D5" s="43">
        <f>Choix!G4</f>
        <v>2</v>
      </c>
      <c r="E5" s="44" t="str">
        <f>Choix!A14</f>
        <v>CAR</v>
      </c>
      <c r="F5" s="43">
        <f>Choix!B14</f>
        <v>4</v>
      </c>
      <c r="G5" s="43">
        <f>Choix!G14</f>
        <v>1</v>
      </c>
      <c r="H5" s="44" t="str">
        <f>Choix!A24</f>
        <v>CAR</v>
      </c>
      <c r="I5" s="43">
        <f>Choix!B24</f>
        <v>4</v>
      </c>
      <c r="J5" s="43">
        <f>Choix!G24</f>
        <v>1</v>
      </c>
      <c r="K5" s="43" t="str">
        <f>Choix!A34</f>
        <v>MTL</v>
      </c>
      <c r="L5" s="43">
        <f>Choix!B34</f>
        <v>7</v>
      </c>
      <c r="M5" s="43">
        <f>Choix!G34</f>
        <v>2</v>
      </c>
      <c r="N5" s="43" t="str">
        <f>Choix!A44</f>
        <v>MTL</v>
      </c>
      <c r="O5" s="43">
        <f>Choix!B44</f>
        <v>7</v>
      </c>
      <c r="P5" s="43">
        <f>Choix!G44</f>
        <v>2</v>
      </c>
      <c r="Q5" s="43" t="str">
        <f>Choix!A54</f>
        <v>MTL</v>
      </c>
      <c r="R5" s="43">
        <f>Choix!B54</f>
        <v>6</v>
      </c>
      <c r="S5" s="43">
        <f>Choix!G54</f>
        <v>2</v>
      </c>
    </row>
    <row r="6" spans="1:19" x14ac:dyDescent="0.25">
      <c r="A6" s="7"/>
      <c r="B6" s="43" t="str">
        <f>Choix!A5</f>
        <v>COL</v>
      </c>
      <c r="C6" s="43">
        <f>Choix!B5</f>
        <v>6</v>
      </c>
      <c r="D6" s="43">
        <f>Choix!G5</f>
        <v>2</v>
      </c>
      <c r="E6" s="44" t="str">
        <f>Choix!A15</f>
        <v>COL</v>
      </c>
      <c r="F6" s="43">
        <f>Choix!B15</f>
        <v>4</v>
      </c>
      <c r="G6" s="43">
        <f>Choix!G15</f>
        <v>1</v>
      </c>
      <c r="H6" s="44" t="str">
        <f>Choix!A25</f>
        <v>COL</v>
      </c>
      <c r="I6" s="43">
        <f>Choix!B25</f>
        <v>4</v>
      </c>
      <c r="J6" s="43">
        <f>Choix!G25</f>
        <v>1</v>
      </c>
      <c r="K6" s="43" t="str">
        <f>Choix!A35</f>
        <v>COL</v>
      </c>
      <c r="L6" s="43">
        <f>Choix!B35</f>
        <v>7</v>
      </c>
      <c r="M6" s="43">
        <f>Choix!G35</f>
        <v>2</v>
      </c>
      <c r="N6" s="43" t="str">
        <f>Choix!A45</f>
        <v>COL</v>
      </c>
      <c r="O6" s="43">
        <f>Choix!B45</f>
        <v>6</v>
      </c>
      <c r="P6" s="43">
        <f>Choix!G45</f>
        <v>2</v>
      </c>
      <c r="Q6" s="43" t="str">
        <f>Choix!A55</f>
        <v>COL</v>
      </c>
      <c r="R6" s="43">
        <f>Choix!B55</f>
        <v>5</v>
      </c>
      <c r="S6" s="43">
        <f>Choix!G55</f>
        <v>2</v>
      </c>
    </row>
    <row r="7" spans="1:19" x14ac:dyDescent="0.25">
      <c r="A7" s="7"/>
      <c r="B7" s="43" t="str">
        <f>Choix!A6</f>
        <v>WWW</v>
      </c>
      <c r="C7" s="43">
        <f>Choix!B6</f>
        <v>0</v>
      </c>
      <c r="D7" s="43">
        <f>Choix!G6</f>
        <v>0</v>
      </c>
      <c r="E7" s="43" t="str">
        <f>Choix!A16</f>
        <v>WWW</v>
      </c>
      <c r="F7" s="43">
        <f>Choix!B16</f>
        <v>0</v>
      </c>
      <c r="G7" s="43">
        <f>Choix!G16</f>
        <v>0</v>
      </c>
      <c r="H7" s="43" t="str">
        <f>Choix!A26</f>
        <v>WWW</v>
      </c>
      <c r="I7" s="43">
        <f>Choix!B26</f>
        <v>0</v>
      </c>
      <c r="J7" s="43">
        <f>Choix!G26</f>
        <v>0</v>
      </c>
      <c r="K7" s="43" t="str">
        <f>Choix!A36</f>
        <v>WWW</v>
      </c>
      <c r="L7" s="43">
        <f>Choix!B36</f>
        <v>0</v>
      </c>
      <c r="M7" s="43">
        <f>Choix!G36</f>
        <v>0</v>
      </c>
      <c r="N7" s="43" t="str">
        <f>Choix!A46</f>
        <v>WWW</v>
      </c>
      <c r="O7" s="43">
        <f>Choix!B46</f>
        <v>0</v>
      </c>
      <c r="P7" s="43">
        <f>Choix!G46</f>
        <v>0</v>
      </c>
      <c r="Q7" s="43" t="str">
        <f>Choix!A56</f>
        <v>WWW</v>
      </c>
      <c r="R7" s="43">
        <f>Choix!B56</f>
        <v>0</v>
      </c>
      <c r="S7" s="43">
        <f>Choix!G56</f>
        <v>0</v>
      </c>
    </row>
    <row r="8" spans="1:19" x14ac:dyDescent="0.25">
      <c r="A8" s="7"/>
      <c r="B8" s="43" t="str">
        <f>Choix!A7</f>
        <v>WWW</v>
      </c>
      <c r="C8" s="43">
        <f>Choix!B7</f>
        <v>0</v>
      </c>
      <c r="D8" s="43">
        <f>Choix!G7</f>
        <v>0</v>
      </c>
      <c r="E8" s="43" t="str">
        <f>Choix!A17</f>
        <v>WWW</v>
      </c>
      <c r="F8" s="43">
        <f>Choix!B17</f>
        <v>0</v>
      </c>
      <c r="G8" s="43">
        <f>Choix!G17</f>
        <v>0</v>
      </c>
      <c r="H8" s="43" t="str">
        <f>Choix!A27</f>
        <v>WWW</v>
      </c>
      <c r="I8" s="43">
        <f>Choix!B27</f>
        <v>0</v>
      </c>
      <c r="J8" s="43">
        <f>Choix!G27</f>
        <v>0</v>
      </c>
      <c r="K8" s="43" t="str">
        <f>Choix!A37</f>
        <v>WWW</v>
      </c>
      <c r="L8" s="43">
        <f>Choix!B37</f>
        <v>0</v>
      </c>
      <c r="M8" s="43">
        <f>Choix!G37</f>
        <v>0</v>
      </c>
      <c r="N8" s="43" t="str">
        <f>Choix!A47</f>
        <v>WWW</v>
      </c>
      <c r="O8" s="43">
        <f>Choix!B47</f>
        <v>0</v>
      </c>
      <c r="P8" s="43">
        <f>Choix!G47</f>
        <v>0</v>
      </c>
      <c r="Q8" s="43" t="str">
        <f>Choix!A57</f>
        <v>WWW</v>
      </c>
      <c r="R8" s="43">
        <f>Choix!B57</f>
        <v>0</v>
      </c>
      <c r="S8" s="43">
        <f>Choix!G57</f>
        <v>0</v>
      </c>
    </row>
    <row r="9" spans="1:19" x14ac:dyDescent="0.25">
      <c r="A9" s="7"/>
      <c r="B9" s="43" t="str">
        <f>Choix!A8</f>
        <v>WWW</v>
      </c>
      <c r="C9" s="43">
        <f>Choix!B8</f>
        <v>0</v>
      </c>
      <c r="D9" s="43">
        <f>Choix!G8</f>
        <v>0</v>
      </c>
      <c r="E9" s="43" t="str">
        <f>Choix!A18</f>
        <v>WWW</v>
      </c>
      <c r="F9" s="43">
        <f>Choix!B18</f>
        <v>0</v>
      </c>
      <c r="G9" s="43">
        <f>Choix!G18</f>
        <v>0</v>
      </c>
      <c r="H9" s="43" t="str">
        <f>Choix!A28</f>
        <v>WWW</v>
      </c>
      <c r="I9" s="43">
        <f>Choix!B28</f>
        <v>0</v>
      </c>
      <c r="J9" s="43">
        <f>Choix!G28</f>
        <v>0</v>
      </c>
      <c r="K9" s="43" t="str">
        <f>Choix!A38</f>
        <v>WWW</v>
      </c>
      <c r="L9" s="43">
        <f>Choix!B38</f>
        <v>0</v>
      </c>
      <c r="M9" s="43">
        <f>Choix!G38</f>
        <v>0</v>
      </c>
      <c r="N9" s="43" t="str">
        <f>Choix!A48</f>
        <v>WWW</v>
      </c>
      <c r="O9" s="43">
        <f>Choix!B48</f>
        <v>0</v>
      </c>
      <c r="P9" s="43">
        <f>Choix!G48</f>
        <v>0</v>
      </c>
      <c r="Q9" s="43" t="str">
        <f>Choix!A58</f>
        <v>WWW</v>
      </c>
      <c r="R9" s="43">
        <f>Choix!B58</f>
        <v>0</v>
      </c>
      <c r="S9" s="43">
        <f>Choix!G58</f>
        <v>0</v>
      </c>
    </row>
    <row r="10" spans="1:19" x14ac:dyDescent="0.25">
      <c r="A10" s="7"/>
      <c r="B10" s="43" t="str">
        <f>Choix!A9</f>
        <v>WWW</v>
      </c>
      <c r="C10" s="43">
        <f>Choix!B9</f>
        <v>0</v>
      </c>
      <c r="D10" s="43">
        <f>Choix!G9</f>
        <v>0</v>
      </c>
      <c r="E10" s="43" t="str">
        <f>Choix!A19</f>
        <v>WWW</v>
      </c>
      <c r="F10" s="43">
        <f>Choix!B19</f>
        <v>0</v>
      </c>
      <c r="G10" s="43">
        <f>Choix!G19</f>
        <v>0</v>
      </c>
      <c r="H10" s="43" t="str">
        <f>Choix!A29</f>
        <v>WWW</v>
      </c>
      <c r="I10" s="43">
        <f>Choix!B29</f>
        <v>0</v>
      </c>
      <c r="J10" s="43">
        <f>Choix!G29</f>
        <v>0</v>
      </c>
      <c r="K10" s="43" t="str">
        <f>Choix!A39</f>
        <v>WWW</v>
      </c>
      <c r="L10" s="43">
        <f>Choix!B39</f>
        <v>0</v>
      </c>
      <c r="M10" s="43">
        <f>Choix!G39</f>
        <v>0</v>
      </c>
      <c r="N10" s="43" t="str">
        <f>Choix!A49</f>
        <v>WWW</v>
      </c>
      <c r="O10" s="43">
        <f>Choix!B49</f>
        <v>0</v>
      </c>
      <c r="P10" s="43">
        <f>Choix!G49</f>
        <v>0</v>
      </c>
      <c r="Q10" s="43" t="str">
        <f>Choix!A59</f>
        <v>WWW</v>
      </c>
      <c r="R10" s="43">
        <f>Choix!B59</f>
        <v>0</v>
      </c>
      <c r="S10" s="43">
        <f>Choix!G59</f>
        <v>0</v>
      </c>
    </row>
    <row r="11" spans="1:19" x14ac:dyDescent="0.25">
      <c r="A11" s="7"/>
      <c r="B11" s="43" t="str">
        <f>Choix!A10</f>
        <v>WWW</v>
      </c>
      <c r="C11" s="43">
        <f>Choix!B10</f>
        <v>0</v>
      </c>
      <c r="D11" s="43">
        <f>Choix!G10</f>
        <v>0</v>
      </c>
      <c r="E11" s="43" t="str">
        <f>Choix!A20</f>
        <v>WWW</v>
      </c>
      <c r="F11" s="43">
        <f>Choix!B20</f>
        <v>0</v>
      </c>
      <c r="G11" s="43">
        <f>Choix!G20</f>
        <v>0</v>
      </c>
      <c r="H11" s="43" t="str">
        <f>Choix!A30</f>
        <v>WWW</v>
      </c>
      <c r="I11" s="43">
        <f>Choix!B30</f>
        <v>0</v>
      </c>
      <c r="J11" s="43">
        <f>Choix!G30</f>
        <v>0</v>
      </c>
      <c r="K11" s="43" t="str">
        <f>Choix!A40</f>
        <v>WWW</v>
      </c>
      <c r="L11" s="43">
        <f>Choix!B40</f>
        <v>0</v>
      </c>
      <c r="M11" s="43">
        <f>Choix!G40</f>
        <v>0</v>
      </c>
      <c r="N11" s="43" t="str">
        <f>Choix!A50</f>
        <v>WWW</v>
      </c>
      <c r="O11" s="43">
        <f>Choix!B50</f>
        <v>0</v>
      </c>
      <c r="P11" s="43">
        <f>Choix!G50</f>
        <v>0</v>
      </c>
      <c r="Q11" s="43" t="str">
        <f>Choix!A60</f>
        <v>WWW</v>
      </c>
      <c r="R11" s="43">
        <f>Choix!B60</f>
        <v>0</v>
      </c>
      <c r="S11" s="43">
        <f>Choix!G60</f>
        <v>0</v>
      </c>
    </row>
    <row r="12" spans="1:19" x14ac:dyDescent="0.25">
      <c r="A12" s="7"/>
      <c r="B12" s="43" t="str">
        <f>Choix!A11</f>
        <v>WWW</v>
      </c>
      <c r="C12" s="43">
        <f>Choix!B11</f>
        <v>0</v>
      </c>
      <c r="D12" s="43">
        <f>Choix!G11</f>
        <v>0</v>
      </c>
      <c r="E12" s="43" t="str">
        <f>Choix!A21</f>
        <v>WWW</v>
      </c>
      <c r="F12" s="43">
        <f>Choix!B21</f>
        <v>0</v>
      </c>
      <c r="G12" s="43">
        <f>Choix!G21</f>
        <v>0</v>
      </c>
      <c r="H12" s="43" t="str">
        <f>Choix!A31</f>
        <v>WWW</v>
      </c>
      <c r="I12" s="43">
        <f>Choix!B31</f>
        <v>0</v>
      </c>
      <c r="J12" s="43">
        <f>Choix!G31</f>
        <v>0</v>
      </c>
      <c r="K12" s="43" t="str">
        <f>Choix!A41</f>
        <v>WWW</v>
      </c>
      <c r="L12" s="43">
        <f>Choix!B41</f>
        <v>0</v>
      </c>
      <c r="M12" s="43">
        <f>Choix!G41</f>
        <v>0</v>
      </c>
      <c r="N12" s="43" t="str">
        <f>Choix!A51</f>
        <v>WWW</v>
      </c>
      <c r="O12" s="43">
        <f>Choix!B51</f>
        <v>0</v>
      </c>
      <c r="P12" s="43">
        <f>Choix!G51</f>
        <v>0</v>
      </c>
      <c r="Q12" s="43" t="str">
        <f>Choix!A61</f>
        <v>WWW</v>
      </c>
      <c r="R12" s="43">
        <f>Choix!B61</f>
        <v>0</v>
      </c>
      <c r="S12" s="43">
        <f>Choix!G61</f>
        <v>0</v>
      </c>
    </row>
    <row r="13" spans="1:19" x14ac:dyDescent="0.25">
      <c r="B13" s="7"/>
    </row>
    <row r="14" spans="1:19" x14ac:dyDescent="0.25">
      <c r="A14" t="s">
        <v>30</v>
      </c>
      <c r="B14" s="3" t="s">
        <v>0</v>
      </c>
      <c r="C14" s="4">
        <v>8</v>
      </c>
      <c r="D14" s="4">
        <v>8</v>
      </c>
      <c r="E14" s="3" t="s">
        <v>1</v>
      </c>
      <c r="F14" s="4">
        <v>8</v>
      </c>
      <c r="G14" s="4">
        <v>8</v>
      </c>
      <c r="H14" s="3" t="s">
        <v>2</v>
      </c>
      <c r="I14" s="4">
        <v>8</v>
      </c>
      <c r="J14" s="4">
        <v>8</v>
      </c>
      <c r="K14" s="3" t="s">
        <v>4</v>
      </c>
      <c r="L14" s="4">
        <v>9</v>
      </c>
      <c r="M14" s="4">
        <v>9</v>
      </c>
      <c r="N14" s="3" t="s">
        <v>36</v>
      </c>
      <c r="O14" s="4">
        <v>11</v>
      </c>
      <c r="P14" s="4">
        <v>11</v>
      </c>
      <c r="Q14" s="3" t="s">
        <v>3</v>
      </c>
      <c r="R14" s="4">
        <v>10</v>
      </c>
      <c r="S14" s="4">
        <v>10</v>
      </c>
    </row>
    <row r="15" spans="1:19" x14ac:dyDescent="0.25">
      <c r="B15" s="1"/>
      <c r="E15" s="1"/>
      <c r="H15" s="1"/>
      <c r="I15" s="29"/>
      <c r="J15" s="30"/>
      <c r="K15" s="3"/>
      <c r="N15" s="1"/>
      <c r="Q15" s="1"/>
    </row>
    <row r="16" spans="1:19" x14ac:dyDescent="0.25">
      <c r="I16" s="2" t="s">
        <v>32</v>
      </c>
      <c r="J16" s="2" t="s">
        <v>15</v>
      </c>
      <c r="K16" s="2" t="s">
        <v>17</v>
      </c>
    </row>
    <row r="17" spans="1:19" x14ac:dyDescent="0.25">
      <c r="B17" s="7"/>
      <c r="H17" s="16">
        <v>1</v>
      </c>
      <c r="I17" s="3" t="s">
        <v>36</v>
      </c>
      <c r="J17" s="4">
        <f ca="1">P5G</f>
        <v>11</v>
      </c>
      <c r="K17" s="4">
        <f ca="1">P5P</f>
        <v>15</v>
      </c>
    </row>
    <row r="18" spans="1:19" x14ac:dyDescent="0.25">
      <c r="H18" s="16">
        <v>2</v>
      </c>
      <c r="I18" s="3" t="s">
        <v>3</v>
      </c>
      <c r="J18" s="4">
        <f ca="1">P6G</f>
        <v>10</v>
      </c>
      <c r="K18" s="4">
        <f ca="1">P6P</f>
        <v>14</v>
      </c>
    </row>
    <row r="19" spans="1:19" x14ac:dyDescent="0.25">
      <c r="H19" s="16">
        <v>3</v>
      </c>
      <c r="I19" s="3" t="s">
        <v>4</v>
      </c>
      <c r="J19" s="4">
        <f ca="1">P4G</f>
        <v>9</v>
      </c>
      <c r="K19" s="4">
        <f ca="1">P4P</f>
        <v>13</v>
      </c>
    </row>
    <row r="20" spans="1:19" x14ac:dyDescent="0.25">
      <c r="H20" s="16">
        <v>4</v>
      </c>
      <c r="I20" s="3" t="s">
        <v>0</v>
      </c>
      <c r="J20" s="4">
        <f ca="1">P1G</f>
        <v>8</v>
      </c>
      <c r="K20" s="4">
        <f ca="1">P1P</f>
        <v>12</v>
      </c>
    </row>
    <row r="21" spans="1:19" x14ac:dyDescent="0.25">
      <c r="H21" s="16">
        <v>5</v>
      </c>
      <c r="I21" s="3" t="s">
        <v>1</v>
      </c>
      <c r="J21" s="4">
        <f ca="1">P2G</f>
        <v>8</v>
      </c>
      <c r="K21" s="4">
        <f ca="1">P2P</f>
        <v>10</v>
      </c>
    </row>
    <row r="22" spans="1:19" x14ac:dyDescent="0.25">
      <c r="H22" s="16">
        <v>6</v>
      </c>
      <c r="I22" s="3" t="s">
        <v>2</v>
      </c>
      <c r="J22" s="4">
        <f ca="1">P3G</f>
        <v>8</v>
      </c>
      <c r="K22" s="4">
        <f ca="1">P3P</f>
        <v>10</v>
      </c>
    </row>
    <row r="25" spans="1:19" x14ac:dyDescent="0.25">
      <c r="A25" t="s">
        <v>20</v>
      </c>
      <c r="C25" s="7" t="s">
        <v>15</v>
      </c>
      <c r="D25" s="7" t="s">
        <v>17</v>
      </c>
      <c r="F25" s="7" t="s">
        <v>15</v>
      </c>
      <c r="G25" s="7" t="s">
        <v>17</v>
      </c>
      <c r="I25" s="7" t="s">
        <v>15</v>
      </c>
      <c r="J25" s="7" t="s">
        <v>17</v>
      </c>
      <c r="L25" s="7" t="s">
        <v>15</v>
      </c>
      <c r="M25" s="7" t="s">
        <v>17</v>
      </c>
      <c r="O25" s="7" t="s">
        <v>15</v>
      </c>
      <c r="P25" s="7" t="s">
        <v>17</v>
      </c>
      <c r="R25" s="7" t="s">
        <v>15</v>
      </c>
      <c r="S25" s="7" t="s">
        <v>17</v>
      </c>
    </row>
    <row r="26" spans="1:19" ht="15.75" thickBot="1" x14ac:dyDescent="0.3">
      <c r="B26" t="s">
        <v>0</v>
      </c>
      <c r="C26" s="7">
        <v>8</v>
      </c>
      <c r="D26" s="7">
        <v>8</v>
      </c>
      <c r="E26" t="s">
        <v>1</v>
      </c>
      <c r="F26" s="7">
        <v>8</v>
      </c>
      <c r="G26" s="7">
        <v>8</v>
      </c>
      <c r="H26" t="s">
        <v>2</v>
      </c>
      <c r="I26" s="7">
        <v>8</v>
      </c>
      <c r="J26" s="7">
        <v>8</v>
      </c>
      <c r="K26" t="s">
        <v>4</v>
      </c>
      <c r="L26" s="7">
        <v>9</v>
      </c>
      <c r="M26" s="7">
        <v>9</v>
      </c>
      <c r="N26" t="s">
        <v>36</v>
      </c>
      <c r="O26" s="7">
        <v>11</v>
      </c>
      <c r="P26" s="7">
        <v>11</v>
      </c>
      <c r="Q26" t="s">
        <v>3</v>
      </c>
      <c r="R26" s="7">
        <v>10</v>
      </c>
      <c r="S26" s="7">
        <v>10</v>
      </c>
    </row>
    <row r="27" spans="1:19" ht="15.75" x14ac:dyDescent="0.25">
      <c r="A27" s="25" t="s">
        <v>29</v>
      </c>
      <c r="B27" t="s">
        <v>49</v>
      </c>
      <c r="E27" t="s">
        <v>49</v>
      </c>
      <c r="H27" t="s">
        <v>49</v>
      </c>
      <c r="K27" t="s">
        <v>49</v>
      </c>
      <c r="N27" t="s">
        <v>49</v>
      </c>
      <c r="Q27" t="s">
        <v>49</v>
      </c>
    </row>
    <row r="28" spans="1:19" ht="16.5" thickBot="1" x14ac:dyDescent="0.3">
      <c r="A28" s="26">
        <v>2</v>
      </c>
      <c r="B28" s="37" t="s">
        <v>40</v>
      </c>
      <c r="C28" s="4">
        <v>7</v>
      </c>
      <c r="D28" s="4">
        <v>0</v>
      </c>
      <c r="E28" s="35" t="s">
        <v>35</v>
      </c>
      <c r="F28" s="4">
        <v>6</v>
      </c>
      <c r="G28" s="4">
        <v>0</v>
      </c>
      <c r="H28" s="35" t="s">
        <v>35</v>
      </c>
      <c r="I28" s="4">
        <v>6</v>
      </c>
      <c r="J28" s="4">
        <v>0</v>
      </c>
      <c r="K28" s="35" t="s">
        <v>35</v>
      </c>
      <c r="L28" s="4">
        <v>6</v>
      </c>
      <c r="M28" s="4">
        <v>0</v>
      </c>
      <c r="N28" s="35" t="s">
        <v>35</v>
      </c>
      <c r="O28" s="4">
        <v>6</v>
      </c>
      <c r="P28" s="4">
        <v>0</v>
      </c>
      <c r="Q28" s="35" t="s">
        <v>35</v>
      </c>
      <c r="R28" s="7">
        <v>6</v>
      </c>
      <c r="S28" s="7">
        <v>0</v>
      </c>
    </row>
    <row r="29" spans="1:19" x14ac:dyDescent="0.25">
      <c r="B29" s="35" t="s">
        <v>7</v>
      </c>
      <c r="C29" s="4">
        <v>5</v>
      </c>
      <c r="D29" s="4">
        <v>0</v>
      </c>
      <c r="E29" s="36" t="s">
        <v>7</v>
      </c>
      <c r="F29" s="4">
        <v>4</v>
      </c>
      <c r="G29" s="4">
        <v>0</v>
      </c>
      <c r="H29" s="36" t="s">
        <v>7</v>
      </c>
      <c r="I29" s="4">
        <v>4</v>
      </c>
      <c r="J29" s="4">
        <v>0</v>
      </c>
      <c r="K29" s="35" t="s">
        <v>7</v>
      </c>
      <c r="L29" s="4">
        <v>6</v>
      </c>
      <c r="M29" s="4">
        <v>0</v>
      </c>
      <c r="N29" s="37" t="s">
        <v>42</v>
      </c>
      <c r="O29" s="4">
        <v>7</v>
      </c>
      <c r="P29" s="4">
        <v>0</v>
      </c>
      <c r="Q29" s="35" t="s">
        <v>7</v>
      </c>
      <c r="R29" s="7">
        <v>5</v>
      </c>
      <c r="S29" s="7">
        <v>0</v>
      </c>
    </row>
    <row r="30" spans="1:19" x14ac:dyDescent="0.25">
      <c r="B30" s="35" t="s">
        <v>10</v>
      </c>
      <c r="C30" s="4">
        <v>6</v>
      </c>
      <c r="D30" s="4">
        <v>0</v>
      </c>
      <c r="E30" s="37" t="s">
        <v>11</v>
      </c>
      <c r="F30" s="4">
        <v>7</v>
      </c>
      <c r="G30" s="4">
        <v>0</v>
      </c>
      <c r="H30" s="37" t="s">
        <v>11</v>
      </c>
      <c r="I30" s="4">
        <v>7</v>
      </c>
      <c r="J30" s="4">
        <v>0</v>
      </c>
      <c r="K30" s="37" t="s">
        <v>11</v>
      </c>
      <c r="L30" s="4">
        <v>6</v>
      </c>
      <c r="M30" s="4">
        <v>0</v>
      </c>
      <c r="N30" s="37" t="s">
        <v>11</v>
      </c>
      <c r="O30" s="4">
        <v>7</v>
      </c>
      <c r="P30" s="4">
        <v>0</v>
      </c>
      <c r="Q30" s="35" t="s">
        <v>10</v>
      </c>
      <c r="R30" s="7">
        <v>6</v>
      </c>
      <c r="S30" s="7">
        <v>0</v>
      </c>
    </row>
    <row r="31" spans="1:19" x14ac:dyDescent="0.25">
      <c r="B31" s="36" t="s">
        <v>8</v>
      </c>
      <c r="C31" s="4">
        <v>6</v>
      </c>
      <c r="D31" s="4">
        <v>0</v>
      </c>
      <c r="E31" s="35" t="s">
        <v>8</v>
      </c>
      <c r="F31" s="4">
        <v>5</v>
      </c>
      <c r="G31" s="4">
        <v>0</v>
      </c>
      <c r="H31" s="35" t="s">
        <v>8</v>
      </c>
      <c r="I31" s="4">
        <v>5</v>
      </c>
      <c r="J31" s="4">
        <v>0</v>
      </c>
      <c r="K31" s="37" t="s">
        <v>39</v>
      </c>
      <c r="L31" s="4">
        <v>6</v>
      </c>
      <c r="M31" s="4">
        <v>0</v>
      </c>
      <c r="N31" s="36" t="s">
        <v>8</v>
      </c>
      <c r="O31" s="4">
        <v>6</v>
      </c>
      <c r="P31" s="4">
        <v>0</v>
      </c>
      <c r="Q31" s="37" t="s">
        <v>39</v>
      </c>
      <c r="R31" s="7">
        <v>6</v>
      </c>
      <c r="S31" s="7">
        <v>0</v>
      </c>
    </row>
    <row r="33" spans="1:19" x14ac:dyDescent="0.25">
      <c r="A33" t="s">
        <v>20</v>
      </c>
      <c r="C33" s="7" t="s">
        <v>15</v>
      </c>
      <c r="D33" s="7" t="s">
        <v>17</v>
      </c>
      <c r="F33" s="7" t="s">
        <v>15</v>
      </c>
      <c r="G33" s="7" t="s">
        <v>17</v>
      </c>
      <c r="I33" s="7" t="s">
        <v>15</v>
      </c>
      <c r="J33" s="7" t="s">
        <v>17</v>
      </c>
      <c r="L33" s="7" t="s">
        <v>15</v>
      </c>
      <c r="M33" s="7" t="s">
        <v>17</v>
      </c>
      <c r="O33" s="7" t="s">
        <v>15</v>
      </c>
      <c r="P33" s="7" t="s">
        <v>17</v>
      </c>
      <c r="R33" s="7" t="s">
        <v>15</v>
      </c>
      <c r="S33" s="7" t="s">
        <v>17</v>
      </c>
    </row>
    <row r="34" spans="1:19" ht="15.75" thickBot="1" x14ac:dyDescent="0.3">
      <c r="B34" t="s">
        <v>0</v>
      </c>
      <c r="C34" s="7">
        <v>4</v>
      </c>
      <c r="D34" s="7">
        <v>4</v>
      </c>
      <c r="E34" t="s">
        <v>1</v>
      </c>
      <c r="F34" s="7">
        <v>4</v>
      </c>
      <c r="G34" s="7">
        <v>4</v>
      </c>
      <c r="H34" t="s">
        <v>2</v>
      </c>
      <c r="I34" s="7">
        <v>4</v>
      </c>
      <c r="J34" s="7">
        <v>4</v>
      </c>
      <c r="K34" t="s">
        <v>4</v>
      </c>
      <c r="L34" s="7">
        <v>7</v>
      </c>
      <c r="M34" s="7">
        <v>7</v>
      </c>
      <c r="N34" t="s">
        <v>36</v>
      </c>
      <c r="O34" s="7">
        <v>8</v>
      </c>
      <c r="P34" s="7">
        <v>8</v>
      </c>
      <c r="Q34" t="s">
        <v>3</v>
      </c>
      <c r="R34" s="7">
        <v>7</v>
      </c>
      <c r="S34" s="7">
        <v>7</v>
      </c>
    </row>
    <row r="35" spans="1:19" ht="15.75" x14ac:dyDescent="0.25">
      <c r="A35" s="25" t="s">
        <v>29</v>
      </c>
      <c r="B35" t="s">
        <v>49</v>
      </c>
      <c r="E35" t="s">
        <v>49</v>
      </c>
      <c r="H35" t="s">
        <v>49</v>
      </c>
      <c r="K35" t="s">
        <v>49</v>
      </c>
      <c r="N35" t="s">
        <v>49</v>
      </c>
      <c r="Q35" t="s">
        <v>49</v>
      </c>
    </row>
    <row r="36" spans="1:19" ht="16.5" thickBot="1" x14ac:dyDescent="0.3">
      <c r="A36" s="26">
        <v>1</v>
      </c>
      <c r="B36" s="36" t="s">
        <v>40</v>
      </c>
      <c r="C36" s="4">
        <v>6</v>
      </c>
      <c r="D36" s="4">
        <v>0</v>
      </c>
      <c r="E36" s="37" t="s">
        <v>5</v>
      </c>
      <c r="F36" s="4">
        <v>6</v>
      </c>
      <c r="G36" s="4">
        <v>0</v>
      </c>
      <c r="H36" s="37" t="s">
        <v>5</v>
      </c>
      <c r="I36" s="4">
        <v>6</v>
      </c>
      <c r="J36" s="4">
        <v>0</v>
      </c>
      <c r="K36" s="36" t="s">
        <v>40</v>
      </c>
      <c r="L36" s="4">
        <v>6</v>
      </c>
      <c r="M36" s="4">
        <v>0</v>
      </c>
      <c r="N36" s="35" t="s">
        <v>40</v>
      </c>
      <c r="O36" s="4">
        <v>7</v>
      </c>
      <c r="P36" s="4">
        <v>0</v>
      </c>
      <c r="Q36" s="37" t="s">
        <v>5</v>
      </c>
      <c r="R36" s="4">
        <v>7</v>
      </c>
      <c r="S36" s="4">
        <v>0</v>
      </c>
    </row>
    <row r="37" spans="1:19" x14ac:dyDescent="0.25">
      <c r="B37" s="37" t="s">
        <v>6</v>
      </c>
      <c r="C37" s="4">
        <v>7</v>
      </c>
      <c r="D37" s="4">
        <v>0</v>
      </c>
      <c r="E37" s="37" t="s">
        <v>6</v>
      </c>
      <c r="F37" s="4">
        <v>5</v>
      </c>
      <c r="G37" s="4">
        <v>0</v>
      </c>
      <c r="H37" s="37" t="s">
        <v>6</v>
      </c>
      <c r="I37" s="4">
        <v>5</v>
      </c>
      <c r="J37" s="4">
        <v>0</v>
      </c>
      <c r="K37" s="35" t="s">
        <v>35</v>
      </c>
      <c r="L37" s="4">
        <v>6</v>
      </c>
      <c r="M37" s="4">
        <v>0</v>
      </c>
      <c r="N37" s="35" t="s">
        <v>35</v>
      </c>
      <c r="O37" s="4">
        <v>6</v>
      </c>
      <c r="P37" s="4">
        <v>0</v>
      </c>
      <c r="Q37" s="35" t="s">
        <v>35</v>
      </c>
      <c r="R37" s="4">
        <v>6</v>
      </c>
      <c r="S37" s="4">
        <v>0</v>
      </c>
    </row>
    <row r="38" spans="1:19" x14ac:dyDescent="0.25">
      <c r="B38" s="37" t="s">
        <v>34</v>
      </c>
      <c r="C38" s="4">
        <v>7</v>
      </c>
      <c r="D38" s="4">
        <v>0</v>
      </c>
      <c r="E38" s="35" t="s">
        <v>7</v>
      </c>
      <c r="F38" s="4">
        <v>5</v>
      </c>
      <c r="G38" s="4">
        <v>0</v>
      </c>
      <c r="H38" s="35" t="s">
        <v>7</v>
      </c>
      <c r="I38" s="4">
        <v>5</v>
      </c>
      <c r="J38" s="4">
        <v>0</v>
      </c>
      <c r="K38" s="37" t="s">
        <v>34</v>
      </c>
      <c r="L38" s="4">
        <v>7</v>
      </c>
      <c r="M38" s="4">
        <v>0</v>
      </c>
      <c r="N38" s="37" t="s">
        <v>34</v>
      </c>
      <c r="O38" s="4">
        <v>7</v>
      </c>
      <c r="P38" s="4">
        <v>0</v>
      </c>
      <c r="Q38" s="35" t="s">
        <v>7</v>
      </c>
      <c r="R38" s="4">
        <v>5</v>
      </c>
      <c r="S38" s="4">
        <v>0</v>
      </c>
    </row>
    <row r="39" spans="1:19" x14ac:dyDescent="0.25">
      <c r="B39" s="37" t="s">
        <v>41</v>
      </c>
      <c r="C39" s="4">
        <v>7</v>
      </c>
      <c r="D39" s="4">
        <v>0</v>
      </c>
      <c r="E39" s="35" t="s">
        <v>42</v>
      </c>
      <c r="F39" s="4">
        <v>7</v>
      </c>
      <c r="G39" s="4">
        <v>0</v>
      </c>
      <c r="H39" s="35" t="s">
        <v>42</v>
      </c>
      <c r="I39" s="4">
        <v>7</v>
      </c>
      <c r="J39" s="4">
        <v>0</v>
      </c>
      <c r="K39" s="36" t="s">
        <v>42</v>
      </c>
      <c r="L39" s="4">
        <v>6</v>
      </c>
      <c r="M39" s="4">
        <v>0</v>
      </c>
      <c r="N39" s="36" t="s">
        <v>42</v>
      </c>
      <c r="O39" s="4">
        <v>6</v>
      </c>
      <c r="P39" s="4">
        <v>0</v>
      </c>
      <c r="Q39" s="36" t="s">
        <v>42</v>
      </c>
      <c r="R39" s="4">
        <v>6</v>
      </c>
      <c r="S39" s="4">
        <v>0</v>
      </c>
    </row>
    <row r="40" spans="1:19" x14ac:dyDescent="0.25">
      <c r="B40" s="35" t="s">
        <v>10</v>
      </c>
      <c r="C40" s="4">
        <v>5</v>
      </c>
      <c r="D40" s="4">
        <v>0</v>
      </c>
      <c r="E40" s="35" t="s">
        <v>10</v>
      </c>
      <c r="F40" s="4">
        <v>7</v>
      </c>
      <c r="G40" s="4">
        <v>0</v>
      </c>
      <c r="H40" s="35" t="s">
        <v>10</v>
      </c>
      <c r="I40" s="4">
        <v>7</v>
      </c>
      <c r="J40" s="4">
        <v>0</v>
      </c>
      <c r="K40" s="35" t="s">
        <v>10</v>
      </c>
      <c r="L40" s="4">
        <v>7</v>
      </c>
      <c r="M40" s="4">
        <v>0</v>
      </c>
      <c r="N40" s="35" t="s">
        <v>10</v>
      </c>
      <c r="O40" s="4">
        <v>5</v>
      </c>
      <c r="P40" s="4">
        <v>0</v>
      </c>
      <c r="Q40" s="35" t="s">
        <v>10</v>
      </c>
      <c r="R40" s="4">
        <v>5</v>
      </c>
      <c r="S40" s="4">
        <v>0</v>
      </c>
    </row>
    <row r="41" spans="1:19" x14ac:dyDescent="0.25">
      <c r="B41" s="37" t="s">
        <v>12</v>
      </c>
      <c r="C41" s="4">
        <v>7</v>
      </c>
      <c r="D41" s="4">
        <v>0</v>
      </c>
      <c r="E41" s="37" t="s">
        <v>12</v>
      </c>
      <c r="F41" s="4">
        <v>7</v>
      </c>
      <c r="G41" s="4">
        <v>0</v>
      </c>
      <c r="H41" s="37" t="s">
        <v>12</v>
      </c>
      <c r="I41" s="4">
        <v>7</v>
      </c>
      <c r="J41" s="4">
        <v>0</v>
      </c>
      <c r="K41" s="37" t="s">
        <v>12</v>
      </c>
      <c r="L41" s="4">
        <v>7</v>
      </c>
      <c r="M41" s="4">
        <v>0</v>
      </c>
      <c r="N41" s="35" t="s">
        <v>11</v>
      </c>
      <c r="O41" s="4">
        <v>7</v>
      </c>
      <c r="P41" s="4">
        <v>0</v>
      </c>
      <c r="Q41" s="37" t="s">
        <v>12</v>
      </c>
      <c r="R41" s="4">
        <v>6</v>
      </c>
      <c r="S41" s="4">
        <v>0</v>
      </c>
    </row>
    <row r="42" spans="1:19" x14ac:dyDescent="0.25">
      <c r="B42" s="35" t="s">
        <v>8</v>
      </c>
      <c r="C42" s="4">
        <v>7</v>
      </c>
      <c r="D42" s="4">
        <v>0</v>
      </c>
      <c r="E42" s="35" t="s">
        <v>8</v>
      </c>
      <c r="F42" s="4">
        <v>7</v>
      </c>
      <c r="G42" s="4">
        <v>0</v>
      </c>
      <c r="H42" s="35" t="s">
        <v>8</v>
      </c>
      <c r="I42" s="4">
        <v>7</v>
      </c>
      <c r="J42" s="4">
        <v>0</v>
      </c>
      <c r="K42" s="35" t="s">
        <v>8</v>
      </c>
      <c r="L42" s="4">
        <v>7</v>
      </c>
      <c r="M42" s="4">
        <v>0</v>
      </c>
      <c r="N42" s="36" t="s">
        <v>8</v>
      </c>
      <c r="O42" s="4">
        <v>6</v>
      </c>
      <c r="P42" s="4">
        <v>0</v>
      </c>
      <c r="Q42" s="36" t="s">
        <v>8</v>
      </c>
      <c r="R42" s="4">
        <v>6</v>
      </c>
      <c r="S42" s="4">
        <v>0</v>
      </c>
    </row>
    <row r="43" spans="1:19" x14ac:dyDescent="0.25">
      <c r="B43" s="37" t="s">
        <v>9</v>
      </c>
      <c r="C43" s="4">
        <v>7</v>
      </c>
      <c r="D43" s="4">
        <v>0</v>
      </c>
      <c r="E43" s="37" t="s">
        <v>9</v>
      </c>
      <c r="F43" s="4">
        <v>5</v>
      </c>
      <c r="G43" s="4">
        <v>0</v>
      </c>
      <c r="H43" s="37" t="s">
        <v>9</v>
      </c>
      <c r="I43" s="4">
        <v>5</v>
      </c>
      <c r="J43" s="4">
        <v>0</v>
      </c>
      <c r="K43" s="37" t="s">
        <v>9</v>
      </c>
      <c r="L43" s="4">
        <v>6</v>
      </c>
      <c r="M43" s="4">
        <v>0</v>
      </c>
      <c r="N43" s="37" t="s">
        <v>9</v>
      </c>
      <c r="O43" s="4">
        <v>5</v>
      </c>
      <c r="P43" s="4">
        <v>0</v>
      </c>
      <c r="Q43" s="37" t="s">
        <v>9</v>
      </c>
      <c r="R43" s="4">
        <v>6</v>
      </c>
      <c r="S43" s="4">
        <v>0</v>
      </c>
    </row>
  </sheetData>
  <sheetProtection sheet="1" objects="1" scenarios="1"/>
  <sortState xmlns:xlrd2="http://schemas.microsoft.com/office/spreadsheetml/2017/richdata2" ref="I17:K22">
    <sortCondition descending="1" ref="J17:J22"/>
    <sortCondition descending="1" ref="K17:K22"/>
    <sortCondition ref="I17:I22"/>
  </sortState>
  <mergeCells count="6">
    <mergeCell ref="Q4:R4"/>
    <mergeCell ref="B4:C4"/>
    <mergeCell ref="E4:F4"/>
    <mergeCell ref="H4:I4"/>
    <mergeCell ref="K4:L4"/>
    <mergeCell ref="N4:O4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ollRes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3</xdr:col>
                    <xdr:colOff>142875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opierChoix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590550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opierSommaire">
                <anchor moveWithCells="1" sizeWithCells="1">
                  <from>
                    <xdr:col>9</xdr:col>
                    <xdr:colOff>342900</xdr:colOff>
                    <xdr:row>0</xdr:row>
                    <xdr:rowOff>28575</xdr:rowOff>
                  </from>
                  <to>
                    <xdr:col>11</xdr:col>
                    <xdr:colOff>295275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opierGrille">
                <anchor moveWithCells="1" sizeWithCells="1">
                  <from>
                    <xdr:col>12</xdr:col>
                    <xdr:colOff>19050</xdr:colOff>
                    <xdr:row>0</xdr:row>
                    <xdr:rowOff>28575</xdr:rowOff>
                  </from>
                  <to>
                    <xdr:col>13</xdr:col>
                    <xdr:colOff>581025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0D2DB-AC37-4FB9-B3FA-D6546A51338E}">
  <sheetPr codeName="Feuil4"/>
  <dimension ref="D6:Y37"/>
  <sheetViews>
    <sheetView topLeftCell="B3" workbookViewId="0">
      <selection activeCell="D6" sqref="D6:Y19"/>
    </sheetView>
  </sheetViews>
  <sheetFormatPr baseColWidth="10" defaultRowHeight="15" x14ac:dyDescent="0.25"/>
  <cols>
    <col min="1" max="4" width="5.140625" customWidth="1"/>
    <col min="5" max="5" width="5.140625" style="7" customWidth="1"/>
    <col min="6" max="7" width="2.7109375" customWidth="1"/>
    <col min="8" max="9" width="5.140625" customWidth="1"/>
    <col min="10" max="11" width="2.7109375" customWidth="1"/>
    <col min="12" max="17" width="5.140625" customWidth="1"/>
    <col min="18" max="19" width="2.7109375" customWidth="1"/>
    <col min="20" max="21" width="5.140625" customWidth="1"/>
    <col min="22" max="23" width="2.7109375" customWidth="1"/>
    <col min="24" max="24" width="5.140625" customWidth="1"/>
    <col min="25" max="25" width="5.140625" style="7" customWidth="1"/>
    <col min="26" max="32" width="5.140625" customWidth="1"/>
  </cols>
  <sheetData>
    <row r="6" spans="4:25" x14ac:dyDescent="0.25">
      <c r="D6" s="9" t="s">
        <v>10</v>
      </c>
      <c r="E6" s="4">
        <v>4</v>
      </c>
      <c r="X6" s="9" t="s">
        <v>40</v>
      </c>
      <c r="Y6" s="4">
        <v>4</v>
      </c>
    </row>
    <row r="7" spans="4:25" x14ac:dyDescent="0.25">
      <c r="D7" s="23" t="s">
        <v>33</v>
      </c>
      <c r="E7" s="24">
        <v>0</v>
      </c>
      <c r="F7" s="10"/>
      <c r="W7" s="10"/>
      <c r="X7" s="23" t="s">
        <v>5</v>
      </c>
      <c r="Y7" s="24">
        <v>2</v>
      </c>
    </row>
    <row r="8" spans="4:25" x14ac:dyDescent="0.25">
      <c r="G8" s="11"/>
      <c r="H8" s="9" t="s">
        <v>10</v>
      </c>
      <c r="I8" s="4">
        <v>4</v>
      </c>
      <c r="N8" s="9"/>
      <c r="O8" s="9"/>
      <c r="T8" s="23" t="s">
        <v>40</v>
      </c>
      <c r="U8" s="24">
        <v>3</v>
      </c>
      <c r="W8" s="12"/>
    </row>
    <row r="9" spans="4:25" x14ac:dyDescent="0.25">
      <c r="G9" s="10"/>
      <c r="H9" s="23" t="s">
        <v>11</v>
      </c>
      <c r="I9" s="24">
        <v>1</v>
      </c>
      <c r="J9" s="10"/>
      <c r="N9" s="9"/>
      <c r="O9" s="9"/>
      <c r="S9" s="10"/>
      <c r="T9" s="9" t="s">
        <v>35</v>
      </c>
      <c r="U9" s="4">
        <v>4</v>
      </c>
      <c r="V9" s="10"/>
      <c r="W9" s="12"/>
    </row>
    <row r="10" spans="4:25" x14ac:dyDescent="0.25">
      <c r="D10" s="23" t="s">
        <v>12</v>
      </c>
      <c r="E10" s="24">
        <v>2</v>
      </c>
      <c r="F10" s="11"/>
      <c r="J10" s="5"/>
      <c r="N10" s="13"/>
      <c r="S10" s="12"/>
      <c r="W10" s="11"/>
      <c r="X10" s="9" t="s">
        <v>6</v>
      </c>
      <c r="Y10" s="4">
        <v>3</v>
      </c>
    </row>
    <row r="11" spans="4:25" x14ac:dyDescent="0.25">
      <c r="D11" s="9" t="s">
        <v>11</v>
      </c>
      <c r="E11" s="4">
        <v>4</v>
      </c>
      <c r="J11" s="5"/>
      <c r="N11" s="5"/>
      <c r="S11" s="12"/>
      <c r="X11" s="9" t="s">
        <v>35</v>
      </c>
      <c r="Y11" s="4">
        <v>4</v>
      </c>
    </row>
    <row r="12" spans="4:25" x14ac:dyDescent="0.25">
      <c r="J12" s="5"/>
      <c r="L12" s="9" t="s">
        <v>10</v>
      </c>
      <c r="M12" s="4">
        <f>VLOOKUP(L12,result,2)</f>
        <v>0</v>
      </c>
      <c r="N12" s="11"/>
      <c r="O12" s="14"/>
      <c r="P12" s="9" t="s">
        <v>35</v>
      </c>
      <c r="Q12" s="4">
        <f>VLOOKUP(P12,result,2)</f>
        <v>1</v>
      </c>
      <c r="S12" s="12"/>
    </row>
    <row r="13" spans="4:25" x14ac:dyDescent="0.25">
      <c r="J13" s="5"/>
      <c r="K13" s="10"/>
      <c r="L13" s="9" t="s">
        <v>8</v>
      </c>
      <c r="M13" s="4">
        <f>VLOOKUP(L13,result,2)</f>
        <v>1</v>
      </c>
      <c r="N13" s="22"/>
      <c r="O13" s="22"/>
      <c r="P13" s="9" t="s">
        <v>7</v>
      </c>
      <c r="Q13" s="4">
        <f>VLOOKUP(P13,result,2)</f>
        <v>0</v>
      </c>
      <c r="R13" s="15"/>
      <c r="S13" s="12"/>
    </row>
    <row r="14" spans="4:25" x14ac:dyDescent="0.25">
      <c r="D14" s="9" t="s">
        <v>8</v>
      </c>
      <c r="E14" s="4">
        <v>4</v>
      </c>
      <c r="J14" s="5"/>
      <c r="S14" s="12"/>
      <c r="X14" s="9" t="s">
        <v>7</v>
      </c>
      <c r="Y14" s="4">
        <v>4</v>
      </c>
    </row>
    <row r="15" spans="4:25" x14ac:dyDescent="0.25">
      <c r="D15" s="23" t="s">
        <v>38</v>
      </c>
      <c r="E15" s="24">
        <v>2</v>
      </c>
      <c r="F15" s="10"/>
      <c r="J15" s="5"/>
      <c r="S15" s="12"/>
      <c r="W15" s="10"/>
      <c r="X15" s="23" t="s">
        <v>34</v>
      </c>
      <c r="Y15" s="24">
        <v>0</v>
      </c>
    </row>
    <row r="16" spans="4:25" x14ac:dyDescent="0.25">
      <c r="G16" s="11"/>
      <c r="H16" s="9" t="s">
        <v>8</v>
      </c>
      <c r="I16" s="4">
        <v>4</v>
      </c>
      <c r="J16" s="11"/>
      <c r="S16" s="11"/>
      <c r="T16" s="9" t="s">
        <v>7</v>
      </c>
      <c r="U16" s="4">
        <v>4</v>
      </c>
      <c r="W16" s="12"/>
    </row>
    <row r="17" spans="4:25" x14ac:dyDescent="0.25">
      <c r="G17" s="10"/>
      <c r="H17" s="23" t="s">
        <v>39</v>
      </c>
      <c r="I17" s="24">
        <v>2</v>
      </c>
      <c r="T17" s="23" t="s">
        <v>42</v>
      </c>
      <c r="U17" s="24">
        <f>VLOOKUP(T17,result,2)</f>
        <v>1</v>
      </c>
      <c r="V17" s="10"/>
      <c r="W17" s="12"/>
    </row>
    <row r="18" spans="4:25" x14ac:dyDescent="0.25">
      <c r="D18" s="23" t="s">
        <v>9</v>
      </c>
      <c r="E18" s="24">
        <v>2</v>
      </c>
      <c r="F18" s="11"/>
      <c r="W18" s="11"/>
      <c r="X18" s="23" t="s">
        <v>41</v>
      </c>
      <c r="Y18" s="24">
        <v>2</v>
      </c>
    </row>
    <row r="19" spans="4:25" x14ac:dyDescent="0.25">
      <c r="D19" s="9" t="s">
        <v>39</v>
      </c>
      <c r="E19" s="4">
        <v>4</v>
      </c>
      <c r="X19" s="9" t="s">
        <v>42</v>
      </c>
      <c r="Y19" s="4">
        <v>4</v>
      </c>
    </row>
    <row r="24" spans="4:25" x14ac:dyDescent="0.25">
      <c r="D24" s="9" t="s">
        <v>10</v>
      </c>
      <c r="E24" s="4">
        <v>4</v>
      </c>
      <c r="X24" s="9" t="s">
        <v>40</v>
      </c>
      <c r="Y24" s="4">
        <v>4</v>
      </c>
    </row>
    <row r="25" spans="4:25" x14ac:dyDescent="0.25">
      <c r="D25" s="23" t="s">
        <v>33</v>
      </c>
      <c r="E25" s="24">
        <v>0</v>
      </c>
      <c r="F25" s="10"/>
      <c r="W25" s="10"/>
      <c r="X25" s="23" t="s">
        <v>5</v>
      </c>
      <c r="Y25" s="24">
        <v>2</v>
      </c>
    </row>
    <row r="26" spans="4:25" x14ac:dyDescent="0.25">
      <c r="G26" s="11"/>
      <c r="H26" s="9" t="s">
        <v>10</v>
      </c>
      <c r="I26" s="9"/>
      <c r="N26" s="9"/>
      <c r="O26" s="9"/>
      <c r="T26" s="9" t="s">
        <v>40</v>
      </c>
      <c r="U26" s="9"/>
      <c r="W26" s="12"/>
    </row>
    <row r="27" spans="4:25" x14ac:dyDescent="0.25">
      <c r="G27" s="10"/>
      <c r="H27" s="9" t="s">
        <v>11</v>
      </c>
      <c r="I27" s="9"/>
      <c r="J27" s="10"/>
      <c r="N27" s="9"/>
      <c r="O27" s="9"/>
      <c r="S27" s="10"/>
      <c r="T27" s="9"/>
      <c r="U27" s="9"/>
      <c r="V27" s="10"/>
      <c r="W27" s="12"/>
    </row>
    <row r="28" spans="4:25" x14ac:dyDescent="0.25">
      <c r="D28" s="23" t="s">
        <v>12</v>
      </c>
      <c r="E28" s="24">
        <v>2</v>
      </c>
      <c r="F28" s="11"/>
      <c r="J28" s="5"/>
      <c r="N28" s="13"/>
      <c r="S28" s="12"/>
      <c r="W28" s="11"/>
      <c r="X28" s="9" t="s">
        <v>6</v>
      </c>
      <c r="Y28" s="4">
        <v>3</v>
      </c>
    </row>
    <row r="29" spans="4:25" x14ac:dyDescent="0.25">
      <c r="D29" s="9" t="s">
        <v>11</v>
      </c>
      <c r="E29" s="4">
        <v>4</v>
      </c>
      <c r="J29" s="5"/>
      <c r="N29" s="5"/>
      <c r="S29" s="12"/>
      <c r="X29" s="9" t="s">
        <v>35</v>
      </c>
      <c r="Y29" s="4">
        <v>4</v>
      </c>
    </row>
    <row r="30" spans="4:25" x14ac:dyDescent="0.25">
      <c r="J30" s="5"/>
      <c r="L30" s="9"/>
      <c r="M30" s="9"/>
      <c r="N30" s="11"/>
      <c r="O30" s="14"/>
      <c r="P30" s="9"/>
      <c r="Q30" s="9"/>
      <c r="S30" s="12"/>
    </row>
    <row r="31" spans="4:25" x14ac:dyDescent="0.25">
      <c r="J31" s="5"/>
      <c r="K31" s="10"/>
      <c r="L31" s="9"/>
      <c r="M31" s="9"/>
      <c r="N31" s="22"/>
      <c r="O31" s="22"/>
      <c r="P31" s="9"/>
      <c r="Q31" s="9"/>
      <c r="R31" s="15"/>
      <c r="S31" s="12"/>
    </row>
    <row r="32" spans="4:25" x14ac:dyDescent="0.25">
      <c r="D32" s="9" t="s">
        <v>8</v>
      </c>
      <c r="E32" s="4">
        <v>4</v>
      </c>
      <c r="J32" s="5"/>
      <c r="S32" s="12"/>
      <c r="X32" s="9" t="s">
        <v>7</v>
      </c>
      <c r="Y32" s="4">
        <v>4</v>
      </c>
    </row>
    <row r="33" spans="4:25" x14ac:dyDescent="0.25">
      <c r="D33" s="23" t="s">
        <v>38</v>
      </c>
      <c r="E33" s="24">
        <v>2</v>
      </c>
      <c r="F33" s="10"/>
      <c r="J33" s="5"/>
      <c r="S33" s="12"/>
      <c r="W33" s="10"/>
      <c r="X33" s="23" t="s">
        <v>34</v>
      </c>
      <c r="Y33" s="24">
        <v>0</v>
      </c>
    </row>
    <row r="34" spans="4:25" x14ac:dyDescent="0.25">
      <c r="G34" s="11"/>
      <c r="H34" s="9" t="s">
        <v>8</v>
      </c>
      <c r="I34" s="9"/>
      <c r="J34" s="11"/>
      <c r="S34" s="11"/>
      <c r="T34" s="9" t="s">
        <v>7</v>
      </c>
      <c r="U34" s="9"/>
      <c r="W34" s="12"/>
    </row>
    <row r="35" spans="4:25" x14ac:dyDescent="0.25">
      <c r="G35" s="10"/>
      <c r="H35" s="9" t="s">
        <v>39</v>
      </c>
      <c r="I35" s="9"/>
      <c r="T35" s="9" t="s">
        <v>42</v>
      </c>
      <c r="U35" s="9"/>
      <c r="V35" s="10"/>
      <c r="W35" s="12"/>
    </row>
    <row r="36" spans="4:25" x14ac:dyDescent="0.25">
      <c r="D36" s="23" t="s">
        <v>9</v>
      </c>
      <c r="E36" s="24">
        <v>2</v>
      </c>
      <c r="F36" s="11"/>
      <c r="W36" s="11"/>
      <c r="X36" s="23" t="s">
        <v>41</v>
      </c>
      <c r="Y36" s="24">
        <v>2</v>
      </c>
    </row>
    <row r="37" spans="4:25" x14ac:dyDescent="0.25">
      <c r="D37" s="9" t="s">
        <v>39</v>
      </c>
      <c r="E37" s="4">
        <v>4</v>
      </c>
      <c r="X37" s="9" t="s">
        <v>42</v>
      </c>
      <c r="Y37" s="4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ierImage">
                <anchor moveWithCells="1" sizeWithCells="1">
                  <from>
                    <xdr:col>12</xdr:col>
                    <xdr:colOff>114300</xdr:colOff>
                    <xdr:row>2</xdr:row>
                    <xdr:rowOff>66675</xdr:rowOff>
                  </from>
                  <to>
                    <xdr:col>15</xdr:col>
                    <xdr:colOff>257175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28</vt:i4>
      </vt:variant>
    </vt:vector>
  </HeadingPairs>
  <TitlesOfParts>
    <vt:vector size="32" baseType="lpstr">
      <vt:lpstr>Points</vt:lpstr>
      <vt:lpstr>Choix</vt:lpstr>
      <vt:lpstr>Sommaire</vt:lpstr>
      <vt:lpstr>Grille</vt:lpstr>
      <vt:lpstr>AAsomm</vt:lpstr>
      <vt:lpstr>Achoix</vt:lpstr>
      <vt:lpstr>Agrille</vt:lpstr>
      <vt:lpstr>Asomm</vt:lpstr>
      <vt:lpstr>nbrCell</vt:lpstr>
      <vt:lpstr>nbrPoolers</vt:lpstr>
      <vt:lpstr>P1G</vt:lpstr>
      <vt:lpstr>P1P</vt:lpstr>
      <vt:lpstr>P2G</vt:lpstr>
      <vt:lpstr>P2P</vt:lpstr>
      <vt:lpstr>P3G</vt:lpstr>
      <vt:lpstr>P3P</vt:lpstr>
      <vt:lpstr>P4G</vt:lpstr>
      <vt:lpstr>P4P</vt:lpstr>
      <vt:lpstr>P5G</vt:lpstr>
      <vt:lpstr>P5P</vt:lpstr>
      <vt:lpstr>P6G</vt:lpstr>
      <vt:lpstr>P6P</vt:lpstr>
      <vt:lpstr>pointsPoints</vt:lpstr>
      <vt:lpstr>pointsSerie</vt:lpstr>
      <vt:lpstr>res_code</vt:lpstr>
      <vt:lpstr>resTot</vt:lpstr>
      <vt:lpstr>result</vt:lpstr>
      <vt:lpstr>ronde</vt:lpstr>
      <vt:lpstr>Scour</vt:lpstr>
      <vt:lpstr>Sgagn</vt:lpstr>
      <vt:lpstr>somm</vt:lpstr>
      <vt:lpstr>Sperd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Charles Dore</cp:lastModifiedBy>
  <dcterms:created xsi:type="dcterms:W3CDTF">2015-06-05T18:19:34Z</dcterms:created>
  <dcterms:modified xsi:type="dcterms:W3CDTF">2026-05-22T02:51:23Z</dcterms:modified>
</cp:coreProperties>
</file>